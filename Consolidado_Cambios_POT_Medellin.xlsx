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de Datos" sheetId="1" state="visible" r:id="rId1"/>
    <sheet xmlns:r="http://schemas.openxmlformats.org/officeDocument/2006/relationships" name="Resumen Cuantitativo" sheetId="2" state="visible" r:id="rId2"/>
    <sheet xmlns:r="http://schemas.openxmlformats.org/officeDocument/2006/relationships" name="Nuevos Conceptos" sheetId="3" state="visible" r:id="rId3"/>
    <sheet xmlns:r="http://schemas.openxmlformats.org/officeDocument/2006/relationships" name="Cruce Comunitario" sheetId="4" state="visible" r:id="rId4"/>
  </sheets>
  <definedNames>
    <definedName name="_xlnm._FilterDatabase" localSheetId="0" hidden="1">'Base de Datos'!$A$1:$M$300</definedName>
    <definedName name="_xlnm._FilterDatabase" localSheetId="2" hidden="1">'Nuevos Conceptos'!$A$1:$E$20</definedName>
    <definedName name="_xlnm._FilterDatabase" localSheetId="3" hidden="1">'Cruce Comunitario'!$A$1:$E$11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00FFFFFF"/>
      <sz val="10"/>
    </font>
    <font>
      <name val="Arial"/>
      <color rgb="00000000"/>
      <sz val="9"/>
    </font>
    <font>
      <name val="Arial"/>
      <b val="1"/>
      <color rgb="002E7D32"/>
      <sz val="9"/>
    </font>
  </fonts>
  <fills count="10">
    <fill>
      <patternFill/>
    </fill>
    <fill>
      <patternFill patternType="gray125"/>
    </fill>
    <fill>
      <patternFill patternType="solid">
        <fgColor rgb="00333333"/>
      </patternFill>
    </fill>
    <fill>
      <patternFill patternType="solid">
        <fgColor rgb="00E3F2FD"/>
      </patternFill>
    </fill>
    <fill>
      <patternFill patternType="solid">
        <fgColor rgb="00F5F5F5"/>
      </patternFill>
    </fill>
    <fill>
      <patternFill patternType="solid">
        <fgColor rgb="00FFF9C4"/>
      </patternFill>
    </fill>
    <fill>
      <patternFill patternType="solid">
        <fgColor rgb="00E8F5E9"/>
      </patternFill>
    </fill>
    <fill>
      <patternFill patternType="solid">
        <fgColor rgb="002E7D32"/>
      </patternFill>
    </fill>
    <fill>
      <patternFill patternType="solid">
        <fgColor rgb="00FFE0B2"/>
      </patternFill>
    </fill>
    <fill>
      <patternFill patternType="solid">
        <fgColor rgb="00FFCDD2"/>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7"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164" fontId="2" fillId="0" borderId="1" applyAlignment="1" pivotButton="0" quotePrefix="0" xfId="0">
      <alignment horizontal="center" vertical="center"/>
    </xf>
    <xf numFmtId="0" fontId="1" fillId="2" borderId="1" pivotButton="0" quotePrefix="0" xfId="0"/>
    <xf numFmtId="0" fontId="0" fillId="2" borderId="1" pivotButton="0" quotePrefix="0" xfId="0"/>
    <xf numFmtId="0" fontId="1" fillId="2" borderId="1" applyAlignment="1" pivotButton="0" quotePrefix="0" xfId="0">
      <alignment horizontal="center"/>
    </xf>
    <xf numFmtId="164" fontId="1" fillId="2" borderId="1" applyAlignment="1" pivotButton="0" quotePrefix="0" xfId="0">
      <alignment horizontal="center"/>
    </xf>
    <xf numFmtId="0" fontId="3" fillId="6"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0"/>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25" customWidth="1" min="3" max="3"/>
    <col width="30" customWidth="1" min="4" max="4"/>
    <col width="22" customWidth="1" min="5" max="5"/>
    <col width="15" customWidth="1" min="6" max="6"/>
    <col width="45" customWidth="1" min="7" max="7"/>
    <col width="45" customWidth="1" min="8" max="8"/>
    <col width="30" customWidth="1" min="9" max="9"/>
    <col width="18" customWidth="1" min="10" max="10"/>
    <col width="12" customWidth="1" min="11" max="11"/>
    <col width="35" customWidth="1" min="12" max="12"/>
    <col width="30" customWidth="1" min="13" max="13"/>
  </cols>
  <sheetData>
    <row r="1">
      <c r="A1" s="1" t="inlineStr">
        <is>
          <t>Sistema</t>
        </is>
      </c>
      <c r="B1" s="1" t="inlineStr">
        <is>
          <t>Bloque</t>
        </is>
      </c>
      <c r="C1" s="1" t="inlineStr">
        <is>
          <t>Sección/Numeral</t>
        </is>
      </c>
      <c r="D1" s="1" t="inlineStr">
        <is>
          <t>Tema</t>
        </is>
      </c>
      <c r="E1" s="1" t="inlineStr">
        <is>
          <t>Artículos Afectados</t>
        </is>
      </c>
      <c r="F1" s="1" t="inlineStr">
        <is>
          <t>Código Ficha</t>
        </is>
      </c>
      <c r="G1" s="1" t="inlineStr">
        <is>
          <t>POT Vigente (Acuerdo 48/2014)</t>
        </is>
      </c>
      <c r="H1" s="1" t="inlineStr">
        <is>
          <t>Propuesta de Modificación</t>
        </is>
      </c>
      <c r="I1" s="1" t="inlineStr">
        <is>
          <t>Qué se Elimina</t>
        </is>
      </c>
      <c r="J1" s="1" t="inlineStr">
        <is>
          <t>Tipo de Cambio (Original)</t>
        </is>
      </c>
      <c r="K1" s="1" t="inlineStr">
        <is>
          <t>Forma/Fondo</t>
        </is>
      </c>
      <c r="L1" s="1" t="inlineStr">
        <is>
          <t>Motivo de Revisión</t>
        </is>
      </c>
      <c r="M1" s="1" t="inlineStr">
        <is>
          <t>Observaciones</t>
        </is>
      </c>
    </row>
    <row r="2">
      <c r="A2" s="2" t="inlineStr">
        <is>
          <t>A. Sistema Público y Colectivo</t>
        </is>
      </c>
      <c r="B2" s="2" t="inlineStr">
        <is>
          <t>Equipamientos</t>
        </is>
      </c>
      <c r="C2" s="2" t="inlineStr">
        <is>
          <t>Estructura normativa</t>
        </is>
      </c>
      <c r="D2" s="2" t="inlineStr"/>
      <c r="E2" s="2" t="inlineStr"/>
      <c r="F2" s="2" t="inlineStr"/>
      <c r="G2" s="2" t="inlineStr">
        <is>
          <t>Numerales 8.2.2 (Clasificación) y 8.2.3 (Categorías) separados</t>
        </is>
      </c>
      <c r="H2" s="2" t="inlineStr">
        <is>
          <t>Se fusionan en un solo numeral 8.2.2 consolidado</t>
        </is>
      </c>
      <c r="I2" s="2" t="inlineStr"/>
      <c r="J2" s="2" t="inlineStr">
        <is>
          <t>Forma</t>
        </is>
      </c>
      <c r="K2" s="3" t="inlineStr">
        <is>
          <t>Forma</t>
        </is>
      </c>
      <c r="L2" s="2" t="inlineStr"/>
      <c r="M2" s="2" t="inlineStr">
        <is>
          <t>Mejora coherencia y facilita interpretación</t>
        </is>
      </c>
    </row>
    <row r="3">
      <c r="A3" s="2" t="inlineStr">
        <is>
          <t>A. Sistema Público y Colectivo</t>
        </is>
      </c>
      <c r="B3" s="2" t="inlineStr">
        <is>
          <t>Equipamientos</t>
        </is>
      </c>
      <c r="C3" s="2" t="inlineStr">
        <is>
          <t>Terminología</t>
        </is>
      </c>
      <c r="D3" s="2" t="inlineStr"/>
      <c r="E3" s="2" t="inlineStr"/>
      <c r="F3" s="2" t="inlineStr"/>
      <c r="G3" s="2" t="inlineStr">
        <is>
          <t>Usa "componente" y "subsistema" de forma indistinta</t>
        </is>
      </c>
      <c r="H3" s="2" t="inlineStr">
        <is>
          <t>Unifica terminología: "subsistema" consistentemente</t>
        </is>
      </c>
      <c r="I3" s="2" t="inlineStr"/>
      <c r="J3" s="2" t="inlineStr">
        <is>
          <t>Forma</t>
        </is>
      </c>
      <c r="K3" s="3" t="inlineStr">
        <is>
          <t>Forma</t>
        </is>
      </c>
      <c r="L3" s="2" t="inlineStr"/>
      <c r="M3" s="2" t="inlineStr">
        <is>
          <t>Corrección terminológica</t>
        </is>
      </c>
    </row>
    <row r="4">
      <c r="A4" s="2" t="inlineStr">
        <is>
          <t>A. Sistema Público y Colectivo</t>
        </is>
      </c>
      <c r="B4" s="2" t="inlineStr">
        <is>
          <t>Equipamientos</t>
        </is>
      </c>
      <c r="C4" s="2" t="inlineStr">
        <is>
          <t>Denominación tabla clasificación</t>
        </is>
      </c>
      <c r="D4" s="2" t="inlineStr"/>
      <c r="E4" s="2" t="inlineStr"/>
      <c r="F4" s="2" t="inlineStr"/>
      <c r="G4" s="2" t="inlineStr">
        <is>
          <t>"Clasificación del Subsistema de equipamientos por categorías y subsistemas"</t>
        </is>
      </c>
      <c r="H4" s="2" t="inlineStr">
        <is>
          <t>"Clasificación del Subsistema de Equipamientos Colectivos"</t>
        </is>
      </c>
      <c r="I4" s="2" t="inlineStr"/>
      <c r="J4" s="2" t="inlineStr">
        <is>
          <t>Forma</t>
        </is>
      </c>
      <c r="K4" s="3" t="inlineStr">
        <is>
          <t>Forma</t>
        </is>
      </c>
      <c r="L4" s="2" t="inlineStr"/>
      <c r="M4" s="2" t="inlineStr">
        <is>
          <t>Precisión denominativa</t>
        </is>
      </c>
    </row>
    <row r="5">
      <c r="A5" s="2" t="inlineStr">
        <is>
          <t>A. Sistema Público y Colectivo</t>
        </is>
      </c>
      <c r="B5" s="2" t="inlineStr">
        <is>
          <t>Equipamientos</t>
        </is>
      </c>
      <c r="C5" s="2" t="inlineStr">
        <is>
          <t>Figuras ilustrativas del inventario</t>
        </is>
      </c>
      <c r="D5" s="2" t="inlineStr"/>
      <c r="E5" s="2" t="inlineStr"/>
      <c r="F5" s="2" t="inlineStr"/>
      <c r="G5" s="2" t="inlineStr">
        <is>
          <t>Incluye figuras ilustrativas del inventario del subsistema</t>
        </is>
      </c>
      <c r="H5" s="2" t="inlineStr">
        <is>
          <t>Se eliminan las figuras ilustrativas del inventario</t>
        </is>
      </c>
      <c r="I5" s="2" t="inlineStr"/>
      <c r="J5" s="2" t="inlineStr">
        <is>
          <t>Forma</t>
        </is>
      </c>
      <c r="K5" s="3" t="inlineStr">
        <is>
          <t>Forma</t>
        </is>
      </c>
      <c r="L5" s="2" t="inlineStr"/>
      <c r="M5" s="2" t="inlineStr">
        <is>
          <t>Se conservan en capítulo de clasificación pero se eliminan del inventario</t>
        </is>
      </c>
    </row>
    <row r="6">
      <c r="A6" s="2" t="inlineStr">
        <is>
          <t>A. Sistema Público y Colectivo</t>
        </is>
      </c>
      <c r="B6" s="2" t="inlineStr">
        <is>
          <t>Equipamientos</t>
        </is>
      </c>
      <c r="C6" s="2" t="inlineStr">
        <is>
          <t>Texto sobre uso dotacional</t>
        </is>
      </c>
      <c r="D6" s="2" t="inlineStr"/>
      <c r="E6" s="2" t="inlineStr"/>
      <c r="F6" s="2" t="inlineStr"/>
      <c r="G6" s="2" t="inlineStr">
        <is>
          <t>Incluye párrafo sobre equipamientos de uso dotacional</t>
        </is>
      </c>
      <c r="H6" s="2" t="inlineStr">
        <is>
          <t>Se elimina (texto tachado)</t>
        </is>
      </c>
      <c r="I6" s="2" t="inlineStr"/>
      <c r="J6" s="2" t="inlineStr">
        <is>
          <t>Forma</t>
        </is>
      </c>
      <c r="K6" s="3" t="inlineStr">
        <is>
          <t>Forma</t>
        </is>
      </c>
      <c r="L6" s="2" t="inlineStr"/>
      <c r="M6" s="2" t="inlineStr">
        <is>
          <t>Elimina contenido redundante</t>
        </is>
      </c>
    </row>
    <row r="7">
      <c r="A7" s="2" t="inlineStr">
        <is>
          <t>A. Sistema Público y Colectivo</t>
        </is>
      </c>
      <c r="B7" s="2" t="inlineStr">
        <is>
          <t>Equipamientos</t>
        </is>
      </c>
      <c r="C7" s="2" t="inlineStr">
        <is>
          <t>Numeración de subsecciones</t>
        </is>
      </c>
      <c r="D7" s="2" t="inlineStr"/>
      <c r="E7" s="2" t="inlineStr"/>
      <c r="F7" s="2" t="inlineStr"/>
      <c r="G7" s="2" t="inlineStr">
        <is>
          <t>Numeración 8.2.3.x</t>
        </is>
      </c>
      <c r="H7" s="2" t="inlineStr">
        <is>
          <t>Se renumera a 8.2.2.1.x</t>
        </is>
      </c>
      <c r="I7" s="2" t="inlineStr"/>
      <c r="J7" s="2" t="inlineStr">
        <is>
          <t>Forma</t>
        </is>
      </c>
      <c r="K7" s="3" t="inlineStr">
        <is>
          <t>Forma</t>
        </is>
      </c>
      <c r="L7" s="2" t="inlineStr"/>
      <c r="M7" s="2" t="inlineStr">
        <is>
          <t>Ajuste por fusión de numerales</t>
        </is>
      </c>
    </row>
    <row r="8">
      <c r="A8" s="2" t="inlineStr">
        <is>
          <t>A. Sistema Público y Colectivo</t>
        </is>
      </c>
      <c r="B8" s="2" t="inlineStr">
        <is>
          <t>Equipamientos</t>
        </is>
      </c>
      <c r="C8" s="2" t="inlineStr">
        <is>
          <t>Clasificación por categorías</t>
        </is>
      </c>
      <c r="D8" s="2" t="inlineStr"/>
      <c r="E8" s="2" t="inlineStr"/>
      <c r="F8" s="2" t="inlineStr"/>
      <c r="G8" s="2" t="inlineStr">
        <is>
          <t>5 categorías y 21 componentes</t>
        </is>
      </c>
      <c r="H8" s="2" t="inlineStr">
        <is>
          <t>Se MANTIENE: 5 categorías (EBS, EBC, ESC, EII, EIN) y 21 componentes</t>
        </is>
      </c>
      <c r="I8" s="2" t="inlineStr"/>
      <c r="J8" s="2" t="inlineStr">
        <is>
          <t>Sin cambio</t>
        </is>
      </c>
      <c r="K8" s="4" t="inlineStr">
        <is>
          <t>Sin cambio</t>
        </is>
      </c>
      <c r="L8" s="2" t="inlineStr"/>
      <c r="M8" s="2" t="inlineStr">
        <is>
          <t>Componente estructural del POT</t>
        </is>
      </c>
    </row>
    <row r="9">
      <c r="A9" s="2" t="inlineStr">
        <is>
          <t>A. Sistema Público y Colectivo</t>
        </is>
      </c>
      <c r="B9" s="2" t="inlineStr">
        <is>
          <t>Equipamientos</t>
        </is>
      </c>
      <c r="C9" s="2" t="inlineStr">
        <is>
          <t>Mapas protocolizados</t>
        </is>
      </c>
      <c r="D9" s="2" t="inlineStr"/>
      <c r="E9" s="2" t="inlineStr"/>
      <c r="F9" s="2" t="inlineStr"/>
      <c r="G9" s="2" t="inlineStr">
        <is>
          <t>Mapas de 2014</t>
        </is>
      </c>
      <c r="H9" s="2" t="inlineStr">
        <is>
          <t>Mapas actualizados y protocolizados</t>
        </is>
      </c>
      <c r="I9" s="2" t="inlineStr"/>
      <c r="J9" s="2" t="inlineStr">
        <is>
          <t>Forma</t>
        </is>
      </c>
      <c r="K9" s="3" t="inlineStr">
        <is>
          <t>Forma</t>
        </is>
      </c>
      <c r="L9" s="2" t="inlineStr"/>
      <c r="M9" s="2" t="inlineStr">
        <is>
          <t>Actualización cartográfica</t>
        </is>
      </c>
    </row>
    <row r="10">
      <c r="A10" s="2" t="inlineStr">
        <is>
          <t>A. Sistema Público y Colectivo</t>
        </is>
      </c>
      <c r="B10" s="2" t="inlineStr">
        <is>
          <t>Equipamientos</t>
        </is>
      </c>
      <c r="C10" s="2" t="inlineStr">
        <is>
          <t>Denominación del numeral</t>
        </is>
      </c>
      <c r="D10" s="2" t="inlineStr"/>
      <c r="E10" s="2" t="inlineStr"/>
      <c r="F10" s="2" t="inlineStr"/>
      <c r="G10" s="2" t="inlineStr">
        <is>
          <t>8.2.3. Categorías del Subsistema de Equipamientos Colectivos</t>
        </is>
      </c>
      <c r="H10" s="2" t="inlineStr">
        <is>
          <t>8.2.3. Inventario del Subsistema de Equipamientos Colectivos</t>
        </is>
      </c>
      <c r="I10" s="2" t="inlineStr"/>
      <c r="J10" s="2" t="inlineStr">
        <is>
          <t>Forma</t>
        </is>
      </c>
      <c r="K10" s="3" t="inlineStr">
        <is>
          <t>Forma</t>
        </is>
      </c>
      <c r="L10" s="2" t="inlineStr"/>
      <c r="M10" s="2" t="inlineStr">
        <is>
          <t>Refleja mejor el contenido real del numeral</t>
        </is>
      </c>
    </row>
    <row r="11">
      <c r="A11" s="2" t="inlineStr">
        <is>
          <t>A. Sistema Público y Colectivo</t>
        </is>
      </c>
      <c r="B11" s="2" t="inlineStr">
        <is>
          <t>Equipamientos</t>
        </is>
      </c>
      <c r="C11" s="2" t="inlineStr">
        <is>
          <t>Contenido del numeral</t>
        </is>
      </c>
      <c r="D11" s="2" t="inlineStr"/>
      <c r="E11" s="2" t="inlineStr"/>
      <c r="F11" s="2" t="inlineStr"/>
      <c r="G11" s="2" t="inlineStr">
        <is>
          <t>Contenía clasificación y categorías duplicadas</t>
        </is>
      </c>
      <c r="H11" s="2" t="inlineStr">
        <is>
          <t>Se trasladan contenidos de clasificación a 8.2.2 y se enfoca en inventario</t>
        </is>
      </c>
      <c r="I11" s="2" t="inlineStr"/>
      <c r="J11" s="2" t="inlineStr">
        <is>
          <t>Forma</t>
        </is>
      </c>
      <c r="K11" s="3" t="inlineStr">
        <is>
          <t>Forma</t>
        </is>
      </c>
      <c r="L11" s="2" t="inlineStr"/>
      <c r="M11" s="2" t="inlineStr">
        <is>
          <t>Elimina duplicidad</t>
        </is>
      </c>
    </row>
    <row r="12">
      <c r="A12" s="2" t="inlineStr">
        <is>
          <t>A. Sistema Público y Colectivo</t>
        </is>
      </c>
      <c r="B12" s="2" t="inlineStr">
        <is>
          <t>Equipamientos</t>
        </is>
      </c>
      <c r="C12" s="2" t="inlineStr">
        <is>
          <t>Naturaleza del inventario</t>
        </is>
      </c>
      <c r="D12" s="2" t="inlineStr"/>
      <c r="E12" s="2" t="inlineStr"/>
      <c r="F12" s="2" t="inlineStr"/>
      <c r="G12" s="2" t="inlineStr">
        <is>
          <t>Inventario estático</t>
        </is>
      </c>
      <c r="H12" s="2" t="inlineStr">
        <is>
          <t>Inventario dinámico y de actualización permanente</t>
        </is>
      </c>
      <c r="I12" s="2" t="inlineStr"/>
      <c r="J12" s="2" t="inlineStr">
        <is>
          <t>Fondo (menor)</t>
        </is>
      </c>
      <c r="K12" s="5" t="inlineStr">
        <is>
          <t>Indeterminado</t>
        </is>
      </c>
      <c r="L12" s="2" t="inlineStr"/>
      <c r="M12" s="2" t="inlineStr">
        <is>
          <t>Permite actualización continua conforme Art. 190 Ley Antitrámites 019/2012</t>
        </is>
      </c>
    </row>
    <row r="13">
      <c r="A13" s="2" t="inlineStr">
        <is>
          <t>A. Sistema Público y Colectivo</t>
        </is>
      </c>
      <c r="B13" s="2" t="inlineStr">
        <is>
          <t>Equipamientos</t>
        </is>
      </c>
      <c r="C13" s="2" t="inlineStr">
        <is>
          <t>Datos del inventario</t>
        </is>
      </c>
      <c r="D13" s="2" t="inlineStr"/>
      <c r="E13" s="2" t="inlineStr"/>
      <c r="F13" s="2" t="inlineStr"/>
      <c r="G13" s="2" t="inlineStr">
        <is>
          <t>Sin datos consolidados actualizados</t>
        </is>
      </c>
      <c r="H13" s="2" t="inlineStr">
        <is>
          <t>Inventario actualizado: 2,209 equipamientos en 18.963.315,43 m²</t>
        </is>
      </c>
      <c r="I13" s="2" t="inlineStr"/>
      <c r="J13" s="2" t="inlineStr">
        <is>
          <t>Forma</t>
        </is>
      </c>
      <c r="K13" s="3" t="inlineStr">
        <is>
          <t>Forma</t>
        </is>
      </c>
      <c r="L13" s="2" t="inlineStr"/>
      <c r="M13" s="2" t="inlineStr">
        <is>
          <t>Fuente: DAP Distrito Especial de Medellín, 2025</t>
        </is>
      </c>
    </row>
    <row r="14">
      <c r="A14" s="2" t="inlineStr">
        <is>
          <t>A. Sistema Público y Colectivo</t>
        </is>
      </c>
      <c r="B14" s="2" t="inlineStr">
        <is>
          <t>Equipamientos</t>
        </is>
      </c>
      <c r="C14" s="2" t="inlineStr">
        <is>
          <t>Inventario EBS</t>
        </is>
      </c>
      <c r="D14" s="2" t="inlineStr"/>
      <c r="E14" s="2" t="inlineStr"/>
      <c r="F14" s="2" t="inlineStr"/>
      <c r="G14" s="2" t="inlineStr">
        <is>
          <t>Sin datos discriminados actualizados</t>
        </is>
      </c>
      <c r="H14" s="2" t="inlineStr">
        <is>
          <t>1,233 equipamientos (11.560.492,66 m²)</t>
        </is>
      </c>
      <c r="I14" s="2" t="inlineStr"/>
      <c r="J14" s="2" t="inlineStr">
        <is>
          <t>Forma</t>
        </is>
      </c>
      <c r="K14" s="3" t="inlineStr">
        <is>
          <t>Forma</t>
        </is>
      </c>
      <c r="L14" s="2" t="inlineStr"/>
      <c r="M14" s="2" t="inlineStr">
        <is>
          <t>Incluye ED:660, SA:107, RE:355, CU:111</t>
        </is>
      </c>
    </row>
    <row r="15">
      <c r="A15" s="2" t="inlineStr">
        <is>
          <t>A. Sistema Público y Colectivo</t>
        </is>
      </c>
      <c r="B15" s="2" t="inlineStr">
        <is>
          <t>Equipamientos</t>
        </is>
      </c>
      <c r="C15" s="2" t="inlineStr">
        <is>
          <t>Inventario EBC</t>
        </is>
      </c>
      <c r="D15" s="2" t="inlineStr"/>
      <c r="E15" s="2" t="inlineStr"/>
      <c r="F15" s="2" t="inlineStr"/>
      <c r="G15" s="2" t="inlineStr">
        <is>
          <t>Sin datos discriminados actualizados</t>
        </is>
      </c>
      <c r="H15" s="2" t="inlineStr">
        <is>
          <t>628 equipamientos (2.246.995,23 m²)</t>
        </is>
      </c>
      <c r="I15" s="2" t="inlineStr"/>
      <c r="J15" s="2" t="inlineStr">
        <is>
          <t>Forma</t>
        </is>
      </c>
      <c r="K15" s="3" t="inlineStr">
        <is>
          <t>Forma</t>
        </is>
      </c>
      <c r="L15" s="2" t="inlineStr"/>
      <c r="M15" s="2" t="inlineStr">
        <is>
          <t>Incluye CM:274, CL:282, AS:72</t>
        </is>
      </c>
    </row>
    <row r="16">
      <c r="A16" s="2" t="inlineStr">
        <is>
          <t>A. Sistema Público y Colectivo</t>
        </is>
      </c>
      <c r="B16" s="2" t="inlineStr">
        <is>
          <t>Equipamientos</t>
        </is>
      </c>
      <c r="C16" s="2" t="inlineStr">
        <is>
          <t>Inventario ESC</t>
        </is>
      </c>
      <c r="D16" s="2" t="inlineStr"/>
      <c r="E16" s="2" t="inlineStr"/>
      <c r="F16" s="2" t="inlineStr"/>
      <c r="G16" s="2" t="inlineStr">
        <is>
          <t>Sin datos discriminados actualizados</t>
        </is>
      </c>
      <c r="H16" s="2" t="inlineStr">
        <is>
          <t>93 equipamientos (1.215.895,27 m²)</t>
        </is>
      </c>
      <c r="I16" s="2" t="inlineStr"/>
      <c r="J16" s="2" t="inlineStr">
        <is>
          <t>Forma</t>
        </is>
      </c>
      <c r="K16" s="3" t="inlineStr">
        <is>
          <t>Forma</t>
        </is>
      </c>
      <c r="L16" s="2" t="inlineStr"/>
      <c r="M16" s="2" t="inlineStr">
        <is>
          <t>Incluye FP:45, AJ:11, JC:23, PA:14</t>
        </is>
      </c>
    </row>
    <row r="17">
      <c r="A17" s="2" t="inlineStr">
        <is>
          <t>A. Sistema Público y Colectivo</t>
        </is>
      </c>
      <c r="B17" s="2" t="inlineStr">
        <is>
          <t>Equipamientos</t>
        </is>
      </c>
      <c r="C17" s="2" t="inlineStr">
        <is>
          <t>Inventario EII</t>
        </is>
      </c>
      <c r="D17" s="2" t="inlineStr"/>
      <c r="E17" s="2" t="inlineStr"/>
      <c r="F17" s="2" t="inlineStr"/>
      <c r="G17" s="2" t="inlineStr">
        <is>
          <t>Sin datos discriminados actualizados</t>
        </is>
      </c>
      <c r="H17" s="2" t="inlineStr">
        <is>
          <t>214 equipamientos (3.461.765,00 m²)</t>
        </is>
      </c>
      <c r="I17" s="2" t="inlineStr"/>
      <c r="J17" s="2" t="inlineStr">
        <is>
          <t>Forma</t>
        </is>
      </c>
      <c r="K17" s="3" t="inlineStr">
        <is>
          <t>Forma</t>
        </is>
      </c>
      <c r="L17" s="2" t="inlineStr"/>
      <c r="M17" s="2" t="inlineStr">
        <is>
          <t>Incluye SP:101, TT:88, PP:4, CB:7, SN:14</t>
        </is>
      </c>
    </row>
    <row r="18">
      <c r="A18" s="2" t="inlineStr">
        <is>
          <t>A. Sistema Público y Colectivo</t>
        </is>
      </c>
      <c r="B18" s="2" t="inlineStr">
        <is>
          <t>Equipamientos</t>
        </is>
      </c>
      <c r="C18" s="2" t="inlineStr">
        <is>
          <t>Inventario EIN</t>
        </is>
      </c>
      <c r="D18" s="2" t="inlineStr"/>
      <c r="E18" s="2" t="inlineStr"/>
      <c r="F18" s="2" t="inlineStr"/>
      <c r="G18" s="2" t="inlineStr">
        <is>
          <t>Sin datos discriminados actualizados</t>
        </is>
      </c>
      <c r="H18" s="2" t="inlineStr">
        <is>
          <t>41 equipamientos (478.167,27 m²)</t>
        </is>
      </c>
      <c r="I18" s="2" t="inlineStr"/>
      <c r="J18" s="2" t="inlineStr">
        <is>
          <t>Forma</t>
        </is>
      </c>
      <c r="K18" s="3" t="inlineStr">
        <is>
          <t>Forma</t>
        </is>
      </c>
      <c r="L18" s="2" t="inlineStr"/>
      <c r="M18" s="2" t="inlineStr">
        <is>
          <t>Incluye II:1, IN:3, IR:6, IM:1, IL:30</t>
        </is>
      </c>
    </row>
    <row r="19">
      <c r="A19" s="2" t="inlineStr">
        <is>
          <t>A. Sistema Público y Colectivo</t>
        </is>
      </c>
      <c r="B19" s="2" t="inlineStr">
        <is>
          <t>Equipamientos</t>
        </is>
      </c>
      <c r="C19" s="2" t="inlineStr">
        <is>
          <t>Carácter ilustrativo</t>
        </is>
      </c>
      <c r="D19" s="2" t="inlineStr"/>
      <c r="E19" s="2" t="inlineStr"/>
      <c r="F19" s="2" t="inlineStr"/>
      <c r="G19" s="2" t="inlineStr">
        <is>
          <t>No especificado</t>
        </is>
      </c>
      <c r="H19" s="2" t="inlineStr">
        <is>
          <t>Mapas y tablas tienen carácter ilustrativo</t>
        </is>
      </c>
      <c r="I19" s="2" t="inlineStr"/>
      <c r="J19" s="2" t="inlineStr">
        <is>
          <t>Forma</t>
        </is>
      </c>
      <c r="K19" s="3" t="inlineStr">
        <is>
          <t>Forma</t>
        </is>
      </c>
      <c r="L19" s="2" t="inlineStr"/>
      <c r="M19" s="2" t="inlineStr">
        <is>
          <t>Sujetos a actualización cartográfica</t>
        </is>
      </c>
    </row>
    <row r="20">
      <c r="A20" s="2" t="inlineStr">
        <is>
          <t>A. Sistema Público y Colectivo</t>
        </is>
      </c>
      <c r="B20" s="2" t="inlineStr">
        <is>
          <t>Equipamientos</t>
        </is>
      </c>
      <c r="C20" s="2" t="inlineStr">
        <is>
          <t>Mapas protocolizados</t>
        </is>
      </c>
      <c r="D20" s="2" t="inlineStr"/>
      <c r="E20" s="2" t="inlineStr"/>
      <c r="F20" s="2" t="inlineStr"/>
      <c r="G20" s="2" t="inlineStr">
        <is>
          <t>Mapas de 2014 (DAP)</t>
        </is>
      </c>
      <c r="H20" s="2" t="inlineStr">
        <is>
          <t>Mapas actualizados 2025 (DAP Distrito Especial)</t>
        </is>
      </c>
      <c r="I20" s="2" t="inlineStr"/>
      <c r="J20" s="2" t="inlineStr">
        <is>
          <t>Forma</t>
        </is>
      </c>
      <c r="K20" s="3" t="inlineStr">
        <is>
          <t>Forma</t>
        </is>
      </c>
      <c r="L20" s="2" t="inlineStr"/>
      <c r="M20" s="2" t="inlineStr">
        <is>
          <t>Actualización cartográfica</t>
        </is>
      </c>
    </row>
    <row r="21">
      <c r="A21" s="2" t="inlineStr">
        <is>
          <t>A. Sistema Público y Colectivo</t>
        </is>
      </c>
      <c r="B21" s="2" t="inlineStr">
        <is>
          <t>Patrimonio Cultural</t>
        </is>
      </c>
      <c r="C21" s="2" t="inlineStr">
        <is>
          <t>SUB-PCIN-0001</t>
        </is>
      </c>
      <c r="D21" s="2" t="inlineStr"/>
      <c r="E21" s="2" t="inlineStr">
        <is>
          <t>Art. 133-134</t>
        </is>
      </c>
      <c r="F21" s="2" t="inlineStr">
        <is>
          <t>SUB-PCIN-0001</t>
        </is>
      </c>
      <c r="G21" s="2" t="inlineStr">
        <is>
          <t>Definición de patrimonio cultural inmueble como bienes con significación cultural. Ámbito municipal.</t>
        </is>
      </c>
      <c r="H21" s="2" t="inlineStr">
        <is>
          <t>Actualización conceptual: incorpora Decreto 1080/2015, amplía definición con dimensiones estéticas, históricas y simbólicas. Transición de "municipio" a "Distrito". Se incorpora el concepto de paisaje histórico.</t>
        </is>
      </c>
      <c r="I21" s="2" t="inlineStr"/>
      <c r="J21" s="2" t="inlineStr">
        <is>
          <t>Sustancial (conceptual)</t>
        </is>
      </c>
      <c r="K21" s="6" t="inlineStr">
        <is>
          <t>Fondo</t>
        </is>
      </c>
      <c r="L21" s="2" t="inlineStr"/>
      <c r="M21" s="2" t="inlineStr"/>
    </row>
    <row r="22">
      <c r="A22" s="2" t="inlineStr">
        <is>
          <t>A. Sistema Público y Colectivo</t>
        </is>
      </c>
      <c r="B22" s="2" t="inlineStr">
        <is>
          <t>Patrimonio Cultural</t>
        </is>
      </c>
      <c r="C22" s="2" t="inlineStr">
        <is>
          <t>SUB-PCIN-0002</t>
        </is>
      </c>
      <c r="D22" s="2" t="inlineStr"/>
      <c r="E22" s="2" t="inlineStr">
        <is>
          <t>Art. 135-137</t>
        </is>
      </c>
      <c r="F22" s="2" t="inlineStr">
        <is>
          <t>SUB-PCIN-0002</t>
        </is>
      </c>
      <c r="G22" s="2" t="inlineStr">
        <is>
          <t>Clasificación en ámbitos (nacional/municipal) y grupos (arquitectónico, urbano, arqueológico). Sin paisajes culturales diferenciados.</t>
        </is>
      </c>
      <c r="H22" s="2" t="inlineStr">
        <is>
          <t>Nueva clasificación: ámbito nacional/distrital. Nuevas subcategorías: Caminos Ancestrales en arqueológico. Nueva categoría Paisajes Culturales (3 tipos según Decreto 1516/2022 y UNESCO). Reorganización de numerales para flujo lógico.</t>
        </is>
      </c>
      <c r="I22" s="2" t="inlineStr"/>
      <c r="J22" s="2" t="inlineStr">
        <is>
          <t>Sustancial (normativo)</t>
        </is>
      </c>
      <c r="K22" s="6" t="inlineStr">
        <is>
          <t>Fondo</t>
        </is>
      </c>
      <c r="L22" s="2" t="inlineStr"/>
      <c r="M22" s="2" t="inlineStr"/>
    </row>
    <row r="23">
      <c r="A23" s="2" t="inlineStr">
        <is>
          <t>A. Sistema Público y Colectivo</t>
        </is>
      </c>
      <c r="B23" s="2" t="inlineStr">
        <is>
          <t>Patrimonio Cultural</t>
        </is>
      </c>
      <c r="C23" s="2" t="inlineStr">
        <is>
          <t>SUB-PCIN-0003</t>
        </is>
      </c>
      <c r="D23" s="2" t="inlineStr"/>
      <c r="E23" s="2" t="inlineStr">
        <is>
          <t>Art. 139→138</t>
        </is>
      </c>
      <c r="F23" s="2" t="inlineStr">
        <is>
          <t>SUB-PCIN-0003</t>
        </is>
      </c>
      <c r="G23" s="2" t="inlineStr">
        <is>
          <t>Listado estático de BIC incorporado en el articulado del POT. Art. 139.</t>
        </is>
      </c>
      <c r="H23" s="2" t="inlineStr">
        <is>
          <t>Se retira el listado del articulado. Se remite a registro dinámico (actos administrativos). BIC se actualizan sin modificar el POT. Renumeración Art. 139→138. Se incorporan 27 inmuebles declarados desde 2014.</t>
        </is>
      </c>
      <c r="I23" s="2" t="inlineStr"/>
      <c r="J23" s="2" t="inlineStr">
        <is>
          <t>Sustancial (instrumental)</t>
        </is>
      </c>
      <c r="K23" s="6" t="inlineStr">
        <is>
          <t>Fondo</t>
        </is>
      </c>
      <c r="L23" s="2" t="inlineStr"/>
      <c r="M23" s="2" t="inlineStr"/>
    </row>
    <row r="24">
      <c r="A24" s="2" t="inlineStr">
        <is>
          <t>A. Sistema Público y Colectivo</t>
        </is>
      </c>
      <c r="B24" s="2" t="inlineStr">
        <is>
          <t>Patrimonio Cultural</t>
        </is>
      </c>
      <c r="C24" s="2" t="inlineStr">
        <is>
          <t>SUB-PCIN-0004</t>
        </is>
      </c>
      <c r="D24" s="2" t="inlineStr"/>
      <c r="E24" s="2" t="inlineStr">
        <is>
          <t>Art. 138→139</t>
        </is>
      </c>
      <c r="F24" s="2" t="inlineStr">
        <is>
          <t>SUB-PCIN-0004</t>
        </is>
      </c>
      <c r="G24" s="2" t="inlineStr">
        <is>
          <t>LICBIC y BIC tratados conjuntamente en mismo artículo. Art. 138. Listado estático.</t>
        </is>
      </c>
      <c r="H24" s="2" t="inlineStr">
        <is>
          <t>Separación de LICBIC en artículo independiente (Art. 139). Redefinición: vigencia bianual, carácter dinámico. Registro se remite a actos administrativos actualizables sin modificar POT.</t>
        </is>
      </c>
      <c r="I24" s="2" t="inlineStr"/>
      <c r="J24" s="2" t="inlineStr">
        <is>
          <t>Sustancial (instrumental)</t>
        </is>
      </c>
      <c r="K24" s="6" t="inlineStr">
        <is>
          <t>Fondo</t>
        </is>
      </c>
      <c r="L24" s="2" t="inlineStr"/>
      <c r="M24" s="2" t="inlineStr"/>
    </row>
    <row r="25">
      <c r="A25" s="2" t="inlineStr">
        <is>
          <t>A. Sistema Público y Colectivo</t>
        </is>
      </c>
      <c r="B25" s="2" t="inlineStr">
        <is>
          <t>Patrimonio Cultural</t>
        </is>
      </c>
      <c r="C25" s="2" t="inlineStr">
        <is>
          <t>SUB-PCIN-0005</t>
        </is>
      </c>
      <c r="D25" s="2" t="inlineStr"/>
      <c r="E25" s="2" t="inlineStr">
        <is>
          <t>Art. 140</t>
        </is>
      </c>
      <c r="F25" s="2" t="inlineStr">
        <is>
          <t>SUB-PCIN-0005</t>
        </is>
      </c>
      <c r="G25" s="2" t="inlineStr">
        <is>
          <t>Referencia general a bienes de valor patrimonial no declarado. Sin integración con patrimonio inmaterial.</t>
        </is>
      </c>
      <c r="H25" s="2" t="inlineStr">
        <is>
          <t>Nuevo concepto "Patrimonios Integrados": integra patrimonio material e inmaterial. Incluye: LICBIC, sectores con valor urbanístico, paisajes culturales de PEOC, patrimonio natural (árboles patrimoniales), bienes muebles, manifestaciones inmateriales (ej. manifestación silletera). Flora urbana y rural patrimonial como componente complementario.</t>
        </is>
      </c>
      <c r="I25" s="2" t="inlineStr"/>
      <c r="J25" s="2" t="inlineStr">
        <is>
          <t>Sustancial (conceptual)</t>
        </is>
      </c>
      <c r="K25" s="6" t="inlineStr">
        <is>
          <t>Fondo</t>
        </is>
      </c>
      <c r="L25" s="2" t="inlineStr"/>
      <c r="M25" s="2" t="inlineStr"/>
    </row>
    <row r="26">
      <c r="A26" s="2" t="inlineStr">
        <is>
          <t>A. Sistema Público y Colectivo</t>
        </is>
      </c>
      <c r="B26" s="2" t="inlineStr">
        <is>
          <t>Patrimonio Cultural</t>
        </is>
      </c>
      <c r="C26" s="2" t="inlineStr">
        <is>
          <t>SUB-PCIN-0006</t>
        </is>
      </c>
      <c r="D26" s="2" t="inlineStr"/>
      <c r="E26" s="2" t="inlineStr">
        <is>
          <t>-</t>
        </is>
      </c>
      <c r="F26" s="2" t="inlineStr">
        <is>
          <t>SUB-PCIN-0006</t>
        </is>
      </c>
      <c r="G26" s="2" t="inlineStr">
        <is>
          <t>Cartografía estática protocolizada con el POT. Un solo mapa para todo el subsistema.</t>
        </is>
      </c>
      <c r="H26" s="2" t="inlineStr">
        <is>
          <t>Dos mapas: Mapa 14 protocolizado (BIC y zonas de influencia) y Mapa 14A no protocolizado (LICBIC y patrimonios integrados, dinámico). Actualización cartográfica con base catastral 2025, insumos ICANH para patrimonio arqueológico. Cartografía dinámica que se actualiza sin modificar POT. Ajuste polígonos C3 a predios/manzanas completas.</t>
        </is>
      </c>
      <c r="I26" s="2" t="inlineStr"/>
      <c r="J26" s="2" t="inlineStr">
        <is>
          <t>Sustancial (instrumental/cartográfico)</t>
        </is>
      </c>
      <c r="K26" s="6" t="inlineStr">
        <is>
          <t>Fondo</t>
        </is>
      </c>
      <c r="L26" s="2" t="inlineStr"/>
      <c r="M26" s="2" t="inlineStr"/>
    </row>
    <row r="27">
      <c r="A27" s="2" t="inlineStr">
        <is>
          <t>A. Sistema Público y Colectivo</t>
        </is>
      </c>
      <c r="B27" s="2" t="inlineStr">
        <is>
          <t>Patrimonio Cultural</t>
        </is>
      </c>
      <c r="C27" s="2" t="inlineStr">
        <is>
          <t>SUB-PCIN-0008</t>
        </is>
      </c>
      <c r="D27" s="2" t="inlineStr"/>
      <c r="E27" s="2" t="inlineStr">
        <is>
          <t>Art. 141-155</t>
        </is>
      </c>
      <c r="F27" s="2" t="inlineStr">
        <is>
          <t>SUB-PCIN-0008</t>
        </is>
      </c>
      <c r="G27" s="2" t="inlineStr">
        <is>
          <t>Criterios de manejo genéricos, niveles de conservación (1,2,3), tipos de intervención rígidos y desactualizados. Sin diferenciación entre niveles de intervención y categorías de gestión. Sin criterios de sostenibilidad ni adaptabilidad.</t>
        </is>
      </c>
      <c r="H27" s="2" t="inlineStr">
        <is>
          <t>Reestructuración completa (Art. 141→8.3.7.1 a 8.3.7.15). Niveles de conservación → Categorías de gestión (Riguroso, General, Externo). Tres grupos de criterios: excepcionalidad esencial, valoración cultural, adaptabilidad. Valoración cultural como principio rector. Incorporación de sostenibilidad, cambio climático, economía circular. Nuevos criterios para inmuebles colindantes, zonas de influencia, espacios públicos, suelo rural, patrimonio paisajístico, patrimonios integrados. Tablas de autoriz</t>
        </is>
      </c>
      <c r="I27" s="2" t="inlineStr"/>
      <c r="J27" s="2" t="inlineStr">
        <is>
          <t>Sustancial (normativo)</t>
        </is>
      </c>
      <c r="K27" s="6" t="inlineStr">
        <is>
          <t>Fondo</t>
        </is>
      </c>
      <c r="L27" s="2" t="inlineStr"/>
      <c r="M27" s="2" t="inlineStr"/>
    </row>
    <row r="28">
      <c r="A28" s="2" t="inlineStr">
        <is>
          <t>A. Sistema Público y Colectivo</t>
        </is>
      </c>
      <c r="B28" s="2" t="inlineStr">
        <is>
          <t>Servicios Públicos</t>
        </is>
      </c>
      <c r="C28" s="2" t="inlineStr">
        <is>
          <t>8.4.1</t>
        </is>
      </c>
      <c r="D28" s="2" t="inlineStr">
        <is>
          <t>Definición del subsistema de servicios públicos</t>
        </is>
      </c>
      <c r="E28" s="2" t="inlineStr">
        <is>
          <t>8.4.1</t>
        </is>
      </c>
      <c r="F28" s="2" t="inlineStr"/>
      <c r="G28" s="2" t="inlineStr">
        <is>
          <t>Definición del subsistema de servicios públicos</t>
        </is>
      </c>
      <c r="H28" s="2" t="inlineStr">
        <is>
          <t>No presenta modificaciones</t>
        </is>
      </c>
      <c r="I28" s="2" t="inlineStr"/>
      <c r="J28" s="2" t="inlineStr">
        <is>
          <t>Sin cambio</t>
        </is>
      </c>
      <c r="K28" s="4" t="inlineStr">
        <is>
          <t>Sin cambio</t>
        </is>
      </c>
      <c r="L28" s="2" t="inlineStr"/>
      <c r="M28" s="2" t="inlineStr">
        <is>
          <t>Se mantiene la definición vigente</t>
        </is>
      </c>
    </row>
    <row r="29">
      <c r="A29" s="2" t="inlineStr">
        <is>
          <t>A. Sistema Público y Colectivo</t>
        </is>
      </c>
      <c r="B29" s="2" t="inlineStr">
        <is>
          <t>Servicios Públicos</t>
        </is>
      </c>
      <c r="C29" s="2" t="inlineStr">
        <is>
          <t>8.4.2</t>
        </is>
      </c>
      <c r="D29" s="2" t="inlineStr">
        <is>
          <t>Clasificación del subsistema de servicios públicos</t>
        </is>
      </c>
      <c r="E29" s="2" t="inlineStr">
        <is>
          <t>8.4.2</t>
        </is>
      </c>
      <c r="F29" s="2" t="inlineStr"/>
      <c r="G29" s="2" t="inlineStr">
        <is>
          <t>Tabla 67 con clasificación de componentes: Domiciliarios (acueducto, alcantarillado, aseo, energía, gas) y No Domiciliarios (alumbrado público, telecomunicaciones). Datos de Subsecretaría de Servicios Públicos, 2013.</t>
        </is>
      </c>
      <c r="H29" s="2" t="inlineStr">
        <is>
          <t>Actualización del inventario de infraestructuras (Tabla 67). Se actualizan datos de cobertura y cantidades. Fuente actualizada: DAP Distrito Especial de Medellín, 2025. Se incluyen 37 ECA correspondientes a 22 ORO. Se incorpora detalle de acueductos veredales con listado completo de corporaciones y juntas administradoras.</t>
        </is>
      </c>
      <c r="I29" s="2" t="inlineStr"/>
      <c r="J29" s="2" t="inlineStr">
        <is>
          <t>Sustancial</t>
        </is>
      </c>
      <c r="K29" s="6" t="inlineStr">
        <is>
          <t>Fondo</t>
        </is>
      </c>
      <c r="L29" s="2" t="inlineStr"/>
      <c r="M29" s="2" t="inlineStr">
        <is>
          <t>Ficha SUB-SEPU-0002. Aplica Art. 159. Norma supradistrital: Decreto 1077/2015. Motivado por desactualización del inventario. Se modifican mapas protocolizados.</t>
        </is>
      </c>
    </row>
    <row r="30">
      <c r="A30" s="2" t="inlineStr">
        <is>
          <t>A. Sistema Público y Colectivo</t>
        </is>
      </c>
      <c r="B30" s="2" t="inlineStr">
        <is>
          <t>Servicios Públicos</t>
        </is>
      </c>
      <c r="C30" s="2" t="inlineStr">
        <is>
          <t>8.4.2.1</t>
        </is>
      </c>
      <c r="D30" s="2" t="inlineStr">
        <is>
          <t>Servicios Públicos Domiciliarios</t>
        </is>
      </c>
      <c r="E30" s="2" t="inlineStr">
        <is>
          <t>8.4.2.1</t>
        </is>
      </c>
      <c r="F30" s="2" t="inlineStr"/>
      <c r="G30" s="2" t="inlineStr">
        <is>
          <t>Definición general de servicios públicos domiciliarios: acueducto, alcantarillado, aseo, energía eléctrica y gas combustible.</t>
        </is>
      </c>
      <c r="H30" s="2" t="inlineStr">
        <is>
          <t>Se mantiene la definición. Se actualiza tabla de componentes con inventario detallado por servicio: plantas de potabilización EPM, acueductos veredales, bocatomas, redes, tanques, PTAR veredales, ECA, subestaciones de energía, redes de gas, etc.</t>
        </is>
      </c>
      <c r="I30" s="2" t="inlineStr"/>
      <c r="J30" s="2" t="inlineStr">
        <is>
          <t>Sustancial</t>
        </is>
      </c>
      <c r="K30" s="6" t="inlineStr">
        <is>
          <t>Fondo</t>
        </is>
      </c>
      <c r="L30" s="2" t="inlineStr"/>
      <c r="M30" s="2" t="inlineStr">
        <is>
          <t>Actualización masiva del inventario. Incluye texto tachado (eliminaciones) y texto en cursiva (adiciones) que evidencian los cambios.</t>
        </is>
      </c>
    </row>
    <row r="31">
      <c r="A31" s="2" t="inlineStr">
        <is>
          <t>A. Sistema Público y Colectivo</t>
        </is>
      </c>
      <c r="B31" s="2" t="inlineStr">
        <is>
          <t>Servicios Públicos</t>
        </is>
      </c>
      <c r="C31" s="2" t="inlineStr">
        <is>
          <t>8.4.2.2</t>
        </is>
      </c>
      <c r="D31" s="2" t="inlineStr">
        <is>
          <t>Servicios Públicos No Domiciliarios</t>
        </is>
      </c>
      <c r="E31" s="2" t="inlineStr">
        <is>
          <t>8.4.2.2</t>
        </is>
      </c>
      <c r="F31" s="2" t="inlineStr"/>
      <c r="G31" s="2" t="inlineStr">
        <is>
          <t>Alumbrado Público y Telecomunicaciones</t>
        </is>
      </c>
      <c r="H31" s="2" t="inlineStr">
        <is>
          <t>Se mantiene clasificación. Se actualiza Tabla 68 con datos de UCAP's (139.200 → eliminado) y antenas de telecomunicaciones.</t>
        </is>
      </c>
      <c r="I31" s="2" t="inlineStr"/>
      <c r="J31" s="2" t="inlineStr">
        <is>
          <t>Formal</t>
        </is>
      </c>
      <c r="K31" s="3" t="inlineStr">
        <is>
          <t>Forma</t>
        </is>
      </c>
      <c r="L31" s="2" t="inlineStr"/>
      <c r="M31" s="2" t="inlineStr">
        <is>
          <t>Actualización de datos cuantitativos</t>
        </is>
      </c>
    </row>
    <row r="32">
      <c r="A32" s="2" t="inlineStr">
        <is>
          <t>A. Sistema Público y Colectivo</t>
        </is>
      </c>
      <c r="B32" s="2" t="inlineStr">
        <is>
          <t>Servicios Públicos</t>
        </is>
      </c>
      <c r="C32" s="2" t="inlineStr">
        <is>
          <t>8.4.2.3</t>
        </is>
      </c>
      <c r="D32" s="2" t="inlineStr">
        <is>
          <t>Componentes del subsistema de servicios públicos</t>
        </is>
      </c>
      <c r="E32" s="2" t="inlineStr">
        <is>
          <t>8.4.2.3</t>
        </is>
      </c>
      <c r="F32" s="2" t="inlineStr"/>
      <c r="G32" s="2" t="inlineStr">
        <is>
          <t>No existía como numeral independiente</t>
        </is>
      </c>
      <c r="H32" s="2" t="inlineStr">
        <is>
          <t>Se incorporan los componentes del Subsistema de Servicios Públicos en el Distrito Especial de Medellín con tabla detallada.</t>
        </is>
      </c>
      <c r="I32" s="2" t="inlineStr"/>
      <c r="J32" s="2" t="inlineStr">
        <is>
          <t>Nuevo</t>
        </is>
      </c>
      <c r="K32" s="6" t="inlineStr">
        <is>
          <t>Fondo</t>
        </is>
      </c>
      <c r="L32" s="2" t="inlineStr"/>
      <c r="M32" s="2" t="inlineStr">
        <is>
          <t>Numeral nuevo que consolida la información de componentes</t>
        </is>
      </c>
    </row>
    <row r="33">
      <c r="A33" s="2" t="inlineStr">
        <is>
          <t>A. Sistema Público y Colectivo</t>
        </is>
      </c>
      <c r="B33" s="2" t="inlineStr">
        <is>
          <t>Servicios Públicos</t>
        </is>
      </c>
      <c r="C33" s="2" t="inlineStr">
        <is>
          <t>8.4.3</t>
        </is>
      </c>
      <c r="D33" s="2" t="inlineStr">
        <is>
          <t>Criterios de localización y manejo de infraestructuras</t>
        </is>
      </c>
      <c r="E33" s="2" t="inlineStr">
        <is>
          <t>8.4.3</t>
        </is>
      </c>
      <c r="F33" s="2" t="inlineStr"/>
      <c r="G33" s="2" t="inlineStr">
        <is>
          <t>8.4.3 Categorías del subsistema de servicios públicos (contenido sobre categorías)</t>
        </is>
      </c>
      <c r="H33" s="2" t="inlineStr">
        <is>
          <t>Se sustituye TODO el contenido del numeral. Pasa de "Categorías" a "Criterios de localización y manejo de infraestructuras del subsistema de servicios públicos". Se incorporan contenidos de los artículos 127 y 130 del Acuerdo 48/2014 (antes en Equipamientos colectivos). Requiere ajuste de numeración: 8.4.3 → 8.4.3.</t>
        </is>
      </c>
      <c r="I33" s="2" t="inlineStr"/>
      <c r="J33" s="2" t="inlineStr">
        <is>
          <t>Sustancial</t>
        </is>
      </c>
      <c r="K33" s="6" t="inlineStr">
        <is>
          <t>Fondo</t>
        </is>
      </c>
      <c r="L33" s="2" t="inlineStr"/>
      <c r="M33" s="2" t="inlineStr">
        <is>
          <t>Ficha SUB-SEPU-0004. Aplica determinantes ambientales y metropolitanos. Articulación con PGIRS, RESPEL, PAC&amp;VC. Decreto 1077/2015. Múltiples acuerdos metropolitanos (4/2019, 16/2017, 23/2015, 1/2025, 5/2014). Medidas de manejo general asociadas a cambio climático (medidas 4.1 a 4.5 incluyendo SUDS).</t>
        </is>
      </c>
    </row>
    <row r="34">
      <c r="A34" s="2" t="inlineStr">
        <is>
          <t>A. Sistema Público y Colectivo</t>
        </is>
      </c>
      <c r="B34" s="2" t="inlineStr">
        <is>
          <t>Servicios Públicos</t>
        </is>
      </c>
      <c r="C34" s="2" t="inlineStr">
        <is>
          <t>8.4.3.1</t>
        </is>
      </c>
      <c r="D34" s="2" t="inlineStr">
        <is>
          <t>Criterios generales servicios públicos domiciliarios</t>
        </is>
      </c>
      <c r="E34" s="2" t="inlineStr">
        <is>
          <t>8.4.3.1</t>
        </is>
      </c>
      <c r="F34" s="2" t="inlineStr"/>
      <c r="G34" s="2" t="inlineStr">
        <is>
          <t>No existía con esta estructura</t>
        </is>
      </c>
      <c r="H34" s="2" t="inlineStr">
        <is>
          <t>Criterios de localización generales para todas las infraestructuras: no localizar en áreas de protección ambiental (salvo análisis de alternativas), no en zonas de alto riesgo no mitigable, accesibilidad (zonas carreteables), elaboración de PGRDEPP en zonas de amenaza. Criterios sobre acceso a servicios esenciales en franjas de protección.</t>
        </is>
      </c>
      <c r="I34" s="2" t="inlineStr"/>
      <c r="J34" s="2" t="inlineStr">
        <is>
          <t>Nuevo</t>
        </is>
      </c>
      <c r="K34" s="6" t="inlineStr">
        <is>
          <t>Fondo</t>
        </is>
      </c>
      <c r="L34" s="2" t="inlineStr"/>
      <c r="M34" s="2" t="inlineStr">
        <is>
          <t>Incorpora criterios articulados con gestión del riesgo (Decreto 2157/2017, Decreto 1347/2021) y determinantes ambientales.</t>
        </is>
      </c>
    </row>
    <row r="35">
      <c r="A35" s="2" t="inlineStr">
        <is>
          <t>A. Sistema Público y Colectivo</t>
        </is>
      </c>
      <c r="B35" s="2" t="inlineStr">
        <is>
          <t>Servicios Públicos</t>
        </is>
      </c>
      <c r="C35" s="2" t="inlineStr">
        <is>
          <t>8.4.3.2</t>
        </is>
      </c>
      <c r="D35" s="2" t="inlineStr">
        <is>
          <t>Criterios específicos para acueducto</t>
        </is>
      </c>
      <c r="E35" s="2" t="inlineStr">
        <is>
          <t>8.4.3.2</t>
        </is>
      </c>
      <c r="F35" s="2" t="inlineStr"/>
      <c r="G35" s="2" t="inlineStr">
        <is>
          <t>No existían criterios específicos detallados</t>
        </is>
      </c>
      <c r="H35" s="2" t="inlineStr">
        <is>
          <t>Criterios para localización de PTAP (gravedad, energía, drenaje, área para lodos, vía de acceso, zona de protección 50% adicional). Criterios para tanques de almacenamiento (zonas estables, retiro 30 m.c.a., cierre perimetral). Criterios de manejo: cerramiento de captaciones, concesiones vigentes, PUEAA, protección de microcuencas, servidumbres de redes, brecha acueducto-alcantarillado (DACAL). Referencia a Resolución 330/2017.</t>
        </is>
      </c>
      <c r="I35" s="2" t="inlineStr"/>
      <c r="J35" s="2" t="inlineStr">
        <is>
          <t>Nuevo</t>
        </is>
      </c>
      <c r="K35" s="6" t="inlineStr">
        <is>
          <t>Fondo</t>
        </is>
      </c>
      <c r="L35" s="2" t="inlineStr"/>
      <c r="M35" s="2" t="inlineStr">
        <is>
          <t>Alta especificidad técnica. Articulación con normativa sectorial (Res. 330/2017, CRA 688/2014).</t>
        </is>
      </c>
    </row>
    <row r="36">
      <c r="A36" s="2" t="inlineStr">
        <is>
          <t>A. Sistema Público y Colectivo</t>
        </is>
      </c>
      <c r="B36" s="2" t="inlineStr">
        <is>
          <t>Servicios Públicos</t>
        </is>
      </c>
      <c r="C36" s="2" t="inlineStr">
        <is>
          <t>8.4.3.3</t>
        </is>
      </c>
      <c r="D36" s="2" t="inlineStr">
        <is>
          <t>Criterios específicos para alcantarillado</t>
        </is>
      </c>
      <c r="E36" s="2" t="inlineStr">
        <is>
          <t>8.4.3.3</t>
        </is>
      </c>
      <c r="F36" s="2" t="inlineStr"/>
      <c r="G36" s="2" t="inlineStr">
        <is>
          <t>No existían criterios específicos detallados</t>
        </is>
      </c>
      <c r="H36" s="2" t="inlineStr">
        <is>
          <t>Criterios para PTAR (estudios de amenaza, interconexión con red, vientos y olores, no cerca de hábitats especiales ni cono de aeropuertos, distancias mínimas según Res. 330/2017 art. 183). PTAR específicas: El Chorizo, Santa Elena, Arcoíris (retiro 200m), La Aldea (retiro 75m). Criterios para EBAR (estudios similares). Criterios de manejo: perímetro sanitario, SUDS (Res. 330/2017 art. 153), implementación según PMAA, PICCA, VC, PRCC, POMCA.</t>
        </is>
      </c>
      <c r="I36" s="2" t="inlineStr"/>
      <c r="J36" s="2" t="inlineStr">
        <is>
          <t>Nuevo</t>
        </is>
      </c>
      <c r="K36" s="6" t="inlineStr">
        <is>
          <t>Fondo</t>
        </is>
      </c>
      <c r="L36" s="2" t="inlineStr"/>
      <c r="M36" s="2" t="inlineStr">
        <is>
          <t>Detalle técnico significativo con criterios diferenciados por tipo de infraestructura.</t>
        </is>
      </c>
    </row>
    <row r="37">
      <c r="A37" s="2" t="inlineStr">
        <is>
          <t>A. Sistema Público y Colectivo</t>
        </is>
      </c>
      <c r="B37" s="2" t="inlineStr">
        <is>
          <t>Servicios Públicos</t>
        </is>
      </c>
      <c r="C37" s="2" t="inlineStr">
        <is>
          <t>8.4.3.4</t>
        </is>
      </c>
      <c r="D37" s="2" t="inlineStr">
        <is>
          <t>Criterios para servicio de aseo</t>
        </is>
      </c>
      <c r="E37" s="2" t="inlineStr">
        <is>
          <t>8.4.3.4</t>
        </is>
      </c>
      <c r="F37" s="2" t="inlineStr"/>
      <c r="G37" s="2" t="inlineStr">
        <is>
          <t>No existían criterios específicos detallados</t>
        </is>
      </c>
      <c r="H37" s="2" t="inlineStr">
        <is>
          <t>Criterios para: contenedores/cajas de almacenamiento temporal (accesibilidad, análisis PPC, permiso espacio público), Puntos Limpios/Puntos Naranja (residuos posconsumo), RESPEL (alejado de zonas pobladas, no en ecosistemas estratégicos, áreas de amenaza baja), RCD (disposición final, puntos limpios, plantas de aprovechamiento), ECA (art. 2.3.2.2.2.9.86 Decreto 1077/2015, uso dotacional, ≥250 m2), CAT (uso dotacional, radio 250m de instituciones), residuos orgánicos (compostaje gran escala en zo</t>
        </is>
      </c>
      <c r="I37" s="2" t="inlineStr"/>
      <c r="J37" s="2" t="inlineStr">
        <is>
          <t>Nuevo</t>
        </is>
      </c>
      <c r="K37" s="6" t="inlineStr">
        <is>
          <t>Fondo</t>
        </is>
      </c>
      <c r="L37" s="2" t="inlineStr"/>
      <c r="M37" s="2" t="inlineStr">
        <is>
          <t>Mayor nivel de detalle en la propuesta. Incluye economía circular, PGIRS, Estrategia Nacional de Economía Circular. EMVARIAS como prestador.</t>
        </is>
      </c>
    </row>
    <row r="38">
      <c r="A38" s="2" t="inlineStr">
        <is>
          <t>A. Sistema Público y Colectivo</t>
        </is>
      </c>
      <c r="B38" s="2" t="inlineStr">
        <is>
          <t>Servicios Públicos</t>
        </is>
      </c>
      <c r="C38" s="2" t="inlineStr">
        <is>
          <t>8.4.3.5</t>
        </is>
      </c>
      <c r="D38" s="2" t="inlineStr">
        <is>
          <t>Criterios para servicio de energía</t>
        </is>
      </c>
      <c r="E38" s="2" t="inlineStr">
        <is>
          <t>8.4.3.5</t>
        </is>
      </c>
      <c r="F38" s="2" t="inlineStr"/>
      <c r="G38" s="2" t="inlineStr">
        <is>
          <t>No existían criterios específicos detallados</t>
        </is>
      </c>
      <c r="H38" s="2" t="inlineStr">
        <is>
          <t>RETIE (Resolución 40117/2024), cerramiento de subestaciones, retiro 100m sector residencial, prohibición cruce canalizaciones en subestaciones, distancias mínimas según NTC 2050, estrategias de uso sostenible (mitigación GEI, PAC&amp;VC). Movilidad eléctrica: acometidas de carga en edificaciones (Ley 1964/2019), estaciones de carga (IEC 61851-1, NTC 2050, RETIE, mínimo 2 acometidas).</t>
        </is>
      </c>
      <c r="I38" s="2" t="inlineStr"/>
      <c r="J38" s="2" t="inlineStr">
        <is>
          <t>Nuevo</t>
        </is>
      </c>
      <c r="K38" s="6" t="inlineStr">
        <is>
          <t>Fondo</t>
        </is>
      </c>
      <c r="L38" s="2" t="inlineStr"/>
      <c r="M38" s="2" t="inlineStr">
        <is>
          <t>Incorpora movilidad eléctrica como novedad. Articulación con transición energética y cambio climático.</t>
        </is>
      </c>
    </row>
    <row r="39">
      <c r="A39" s="2" t="inlineStr">
        <is>
          <t>A. Sistema Público y Colectivo</t>
        </is>
      </c>
      <c r="B39" s="2" t="inlineStr">
        <is>
          <t>Servicios Públicos</t>
        </is>
      </c>
      <c r="C39" s="2" t="inlineStr">
        <is>
          <t>8.4.3.6</t>
        </is>
      </c>
      <c r="D39" s="2" t="inlineStr">
        <is>
          <t>Criterios para servicio de gas</t>
        </is>
      </c>
      <c r="E39" s="2" t="inlineStr">
        <is>
          <t>8.4.3.6</t>
        </is>
      </c>
      <c r="F39" s="2" t="inlineStr"/>
      <c r="G39" s="2" t="inlineStr">
        <is>
          <t>No existían criterios específicos detallados</t>
        </is>
      </c>
      <c r="H39" s="2" t="inlineStr">
        <is>
          <t>Cerramiento perimetral de estaciones compresoras y regulación, retiro 7m, separación de redes eléctricas/acueducto/alcantarillado. Distancias mínimas según NTC 3949/2002 (tabla por caudal nominal). Código distribución CREG (Res. 067/1995 mod. Res. 059/2012). Profundidad tuberías enterradas (46cm tráfico vehicular, 30cm zonas verdes). Servidumbre de tubería. Limitaciones en zonas de riesgo.</t>
        </is>
      </c>
      <c r="I39" s="2" t="inlineStr"/>
      <c r="J39" s="2" t="inlineStr">
        <is>
          <t>Nuevo</t>
        </is>
      </c>
      <c r="K39" s="6" t="inlineStr">
        <is>
          <t>Fondo</t>
        </is>
      </c>
      <c r="L39" s="2" t="inlineStr"/>
      <c r="M39" s="2" t="inlineStr">
        <is>
          <t>Criterios muy específicos con referencias normativas técnicas.</t>
        </is>
      </c>
    </row>
    <row r="40">
      <c r="A40" s="2" t="inlineStr">
        <is>
          <t>A. Sistema Público y Colectivo</t>
        </is>
      </c>
      <c r="B40" s="2" t="inlineStr">
        <is>
          <t>Servicios Públicos</t>
        </is>
      </c>
      <c r="C40" s="2" t="inlineStr">
        <is>
          <t>8.4.3.7</t>
        </is>
      </c>
      <c r="D40" s="2" t="inlineStr">
        <is>
          <t>Criterios para prestación diferenciada de servicios públicos</t>
        </is>
      </c>
      <c r="E40" s="2" t="inlineStr">
        <is>
          <t>8.4.3.7</t>
        </is>
      </c>
      <c r="F40" s="2" t="inlineStr"/>
      <c r="G40" s="2" t="inlineStr">
        <is>
          <t>No existía</t>
        </is>
      </c>
      <c r="H40" s="2" t="inlineStr">
        <is>
          <t>Esquemas diferenciales para acueducto, alcantarillado y aseo en suelo urbano (áreas de difícil gestión, zonas MI, condiciones de riesgo, borde urbano rural). Programa de mínimo vital (Decreto 776/2025). Fondo de inversión empresa-estado. Esquemas diferenciales en suelo rural (centros poblados, asentamientos, población dispersa). Esquemas diferenciales para energía y gas (Decreto 1073/2015, áreas especiales).</t>
        </is>
      </c>
      <c r="I40" s="2" t="inlineStr"/>
      <c r="J40" s="2" t="inlineStr">
        <is>
          <t>Nuevo</t>
        </is>
      </c>
      <c r="K40" s="6" t="inlineStr">
        <is>
          <t>Fondo</t>
        </is>
      </c>
      <c r="L40" s="2" t="inlineStr"/>
      <c r="M40" s="2" t="inlineStr">
        <is>
          <t>Novedad significativa: prestación diferenciada como instrumento de equidad territorial. Articulación con Decretos 776/2025, 960/2025, 1077/2015, 1073/2015.</t>
        </is>
      </c>
    </row>
    <row r="41">
      <c r="A41" s="2" t="inlineStr">
        <is>
          <t>A. Sistema Público y Colectivo</t>
        </is>
      </c>
      <c r="B41" s="2" t="inlineStr">
        <is>
          <t>Servicios Públicos</t>
        </is>
      </c>
      <c r="C41" s="2" t="inlineStr">
        <is>
          <t>8.4.4</t>
        </is>
      </c>
      <c r="D41" s="2" t="inlineStr">
        <is>
          <t>Normas técnicas de Servicios Públicos (Art. 160)</t>
        </is>
      </c>
      <c r="E41" s="2" t="inlineStr">
        <is>
          <t>8.4.4</t>
        </is>
      </c>
      <c r="F41" s="2" t="inlineStr"/>
      <c r="G41" s="2" t="inlineStr">
        <is>
          <t>Art. 160 - Normas técnicas de Servicios Públicos</t>
        </is>
      </c>
      <c r="H41" s="2" t="inlineStr">
        <is>
          <t>No se menciona modificación explícita en las fichas revisadas</t>
        </is>
      </c>
      <c r="I41" s="2" t="inlineStr"/>
      <c r="J41" s="2" t="inlineStr">
        <is>
          <t>Sin cambio</t>
        </is>
      </c>
      <c r="K41" s="4" t="inlineStr">
        <is>
          <t>Sin cambio</t>
        </is>
      </c>
      <c r="L41" s="2" t="inlineStr"/>
      <c r="M41" s="2" t="inlineStr">
        <is>
          <t>Pendiente verificar en fichas adicionales</t>
        </is>
      </c>
    </row>
    <row r="42">
      <c r="A42" s="2" t="inlineStr">
        <is>
          <t>A. Sistema Público y Colectivo</t>
        </is>
      </c>
      <c r="B42" s="2" t="inlineStr">
        <is>
          <t>Movilidad</t>
        </is>
      </c>
      <c r="C42" s="2" t="inlineStr">
        <is>
          <t>8.5.1</t>
        </is>
      </c>
      <c r="D42" s="2" t="inlineStr"/>
      <c r="E42" s="2" t="inlineStr">
        <is>
          <t>Art. 174</t>
        </is>
      </c>
      <c r="F42" s="2" t="inlineStr">
        <is>
          <t>N/A</t>
        </is>
      </c>
      <c r="G42" s="2" t="inlineStr">
        <is>
          <t>Definición del subsistema de movilidad</t>
        </is>
      </c>
      <c r="H42" s="2" t="inlineStr">
        <is>
          <t>NO SE MODIFICA</t>
        </is>
      </c>
      <c r="I42" s="2" t="inlineStr"/>
      <c r="J42" s="2" t="inlineStr">
        <is>
          <t>No se modifica</t>
        </is>
      </c>
      <c r="K42" s="4" t="inlineStr">
        <is>
          <t>Sin cambio</t>
        </is>
      </c>
      <c r="L42" s="2" t="inlineStr"/>
      <c r="M42" s="2" t="inlineStr">
        <is>
          <t>Base conceptual se mantiene intacta</t>
        </is>
      </c>
    </row>
    <row r="43">
      <c r="A43" s="2" t="inlineStr">
        <is>
          <t>A. Sistema Público y Colectivo</t>
        </is>
      </c>
      <c r="B43" s="2" t="inlineStr">
        <is>
          <t>Movilidad</t>
        </is>
      </c>
      <c r="C43" s="2" t="inlineStr">
        <is>
          <t>8.5.2</t>
        </is>
      </c>
      <c r="D43" s="2" t="inlineStr"/>
      <c r="E43" s="2" t="inlineStr">
        <is>
          <t>Art. 175</t>
        </is>
      </c>
      <c r="F43" s="2" t="inlineStr">
        <is>
          <t>N/A</t>
        </is>
      </c>
      <c r="G43" s="2" t="inlineStr">
        <is>
          <t>Clasificación del subsistema</t>
        </is>
      </c>
      <c r="H43" s="2" t="inlineStr">
        <is>
          <t>NO SE MODIFICA</t>
        </is>
      </c>
      <c r="I43" s="2" t="inlineStr"/>
      <c r="J43" s="2" t="inlineStr">
        <is>
          <t>No se modifica</t>
        </is>
      </c>
      <c r="K43" s="4" t="inlineStr">
        <is>
          <t>Sin cambio</t>
        </is>
      </c>
      <c r="L43" s="2" t="inlineStr"/>
      <c r="M43" s="2" t="inlineStr">
        <is>
          <t>Estructura clasificatoria vigente</t>
        </is>
      </c>
    </row>
    <row r="44">
      <c r="A44" s="2" t="inlineStr">
        <is>
          <t>A. Sistema Público y Colectivo</t>
        </is>
      </c>
      <c r="B44" s="2" t="inlineStr">
        <is>
          <t>Movilidad</t>
        </is>
      </c>
      <c r="C44" s="2" t="inlineStr">
        <is>
          <t>8.5.3</t>
        </is>
      </c>
      <c r="D44" s="2" t="inlineStr"/>
      <c r="E44" s="2" t="inlineStr">
        <is>
          <t>Art. 176</t>
        </is>
      </c>
      <c r="F44" s="2" t="inlineStr">
        <is>
          <t>N/A</t>
        </is>
      </c>
      <c r="G44" s="2" t="inlineStr">
        <is>
          <t>Categorías del subsistema</t>
        </is>
      </c>
      <c r="H44" s="2" t="inlineStr">
        <is>
          <t>NO SE MODIFICA</t>
        </is>
      </c>
      <c r="I44" s="2" t="inlineStr"/>
      <c r="J44" s="2" t="inlineStr">
        <is>
          <t>No se modifica</t>
        </is>
      </c>
      <c r="K44" s="4" t="inlineStr">
        <is>
          <t>Sin cambio</t>
        </is>
      </c>
      <c r="L44" s="2" t="inlineStr"/>
      <c r="M44" s="2" t="inlineStr">
        <is>
          <t>Categorías vigentes se conservan</t>
        </is>
      </c>
    </row>
    <row r="45">
      <c r="A45" s="2" t="inlineStr">
        <is>
          <t>A. Sistema Público y Colectivo</t>
        </is>
      </c>
      <c r="B45" s="2" t="inlineStr">
        <is>
          <t>Movilidad</t>
        </is>
      </c>
      <c r="C45" s="2" t="inlineStr">
        <is>
          <t>8.5.4</t>
        </is>
      </c>
      <c r="D45" s="2" t="inlineStr"/>
      <c r="E45" s="2" t="inlineStr">
        <is>
          <t>N/A</t>
        </is>
      </c>
      <c r="F45" s="2" t="inlineStr">
        <is>
          <t>N/A</t>
        </is>
      </c>
      <c r="G45" s="2" t="inlineStr">
        <is>
          <t>Sistema de control de tránsito</t>
        </is>
      </c>
      <c r="H45" s="2" t="inlineStr">
        <is>
          <t>NO SE MODIFICA</t>
        </is>
      </c>
      <c r="I45" s="2" t="inlineStr"/>
      <c r="J45" s="2" t="inlineStr">
        <is>
          <t>No se modifica</t>
        </is>
      </c>
      <c r="K45" s="4" t="inlineStr">
        <is>
          <t>Sin cambio</t>
        </is>
      </c>
      <c r="L45" s="2" t="inlineStr"/>
      <c r="M45" s="2" t="inlineStr">
        <is>
          <t>Sin modificaciones</t>
        </is>
      </c>
    </row>
    <row r="46">
      <c r="A46" s="2" t="inlineStr">
        <is>
          <t>A. Sistema Público y Colectivo</t>
        </is>
      </c>
      <c r="B46" s="2" t="inlineStr">
        <is>
          <t>Movilidad</t>
        </is>
      </c>
      <c r="C46" s="2" t="inlineStr">
        <is>
          <t>8.5.5.1</t>
        </is>
      </c>
      <c r="D46" s="2" t="inlineStr"/>
      <c r="E46" s="2" t="inlineStr">
        <is>
          <t>Arts. 177-181</t>
        </is>
      </c>
      <c r="F46" s="2" t="inlineStr">
        <is>
          <t>SUB-MOVI-0029</t>
        </is>
      </c>
      <c r="G46" s="2" t="inlineStr">
        <is>
          <t>Criterios manejo red peatonal - andenes, pasos peatonales, puentes</t>
        </is>
      </c>
      <c r="H46" s="2" t="inlineStr">
        <is>
          <t>Precisa dimensiones: andenes (franja circulación 2.00m mín urbano, 1.50m rural), vías peatonales dedicadas (franjas 2.00m + zona verde central 6.00m), tráfico calmado (≤30km/h en vías de servicio), caminos ancestrales (ancho mín rural 6m), puentes peatonales (3.00m ancho mín, priorizar pasos a nivel)</t>
        </is>
      </c>
      <c r="I46" s="2" t="inlineStr"/>
      <c r="J46" s="2" t="inlineStr">
        <is>
          <t>Sustancial</t>
        </is>
      </c>
      <c r="K46" s="6" t="inlineStr">
        <is>
          <t>Fondo</t>
        </is>
      </c>
      <c r="L46" s="2" t="inlineStr"/>
      <c r="M46" s="2" t="inlineStr">
        <is>
          <t>Incorpora Ley 2251/2022 (seguridad vial sistema seguro). Enfoque en movilidad no motorizada y accesibilidad universal</t>
        </is>
      </c>
    </row>
    <row r="47">
      <c r="A47" s="2" t="inlineStr">
        <is>
          <t>A. Sistema Público y Colectivo</t>
        </is>
      </c>
      <c r="B47" s="2" t="inlineStr">
        <is>
          <t>Movilidad</t>
        </is>
      </c>
      <c r="C47" s="2" t="inlineStr">
        <is>
          <t>8.5.5.2</t>
        </is>
      </c>
      <c r="D47" s="2" t="inlineStr"/>
      <c r="E47" s="2" t="inlineStr">
        <is>
          <t>Arts. 182-184</t>
        </is>
      </c>
      <c r="F47" s="2" t="inlineStr">
        <is>
          <t>form_revision_pot-0210</t>
        </is>
      </c>
      <c r="G47" s="2" t="inlineStr">
        <is>
          <t>Criterios manejo red de bicicletas</t>
        </is>
      </c>
      <c r="H47" s="2" t="inlineStr">
        <is>
          <t>Ciclorrutas segregadas (1.20-1.50m unidireccional, 2.50m bidireccional), compartidas (≤30km/h). Biciparqueaderos→Cicloparqueaderos. Articulación transporte público-bicicleta</t>
        </is>
      </c>
      <c r="I47" s="2" t="inlineStr"/>
      <c r="J47" s="2" t="inlineStr">
        <is>
          <t>Sustancial</t>
        </is>
      </c>
      <c r="K47" s="6" t="inlineStr">
        <is>
          <t>Fondo</t>
        </is>
      </c>
      <c r="L47" s="2" t="inlineStr"/>
      <c r="M47" s="2" t="inlineStr">
        <is>
          <t>Integra PMB 2030 y Ley 2294/2023 (PND). Renombra biciparqueaderos a cicloparqueaderos</t>
        </is>
      </c>
    </row>
    <row r="48">
      <c r="A48" s="2" t="inlineStr">
        <is>
          <t>A. Sistema Público y Colectivo</t>
        </is>
      </c>
      <c r="B48" s="2" t="inlineStr">
        <is>
          <t>Movilidad</t>
        </is>
      </c>
      <c r="C48" s="2" t="inlineStr">
        <is>
          <t>8.5.5.3</t>
        </is>
      </c>
      <c r="D48" s="2" t="inlineStr"/>
      <c r="E48" s="2" t="inlineStr">
        <is>
          <t>Art. 185</t>
        </is>
      </c>
      <c r="F48" s="2" t="inlineStr">
        <is>
          <t>form_revision_pot-0214</t>
        </is>
      </c>
      <c r="G48" s="2" t="inlineStr">
        <is>
          <t>Criterios vías férreas y nacionales</t>
        </is>
      </c>
      <c r="H48" s="2" t="inlineStr">
        <is>
          <t>Retiros por orden: 1er orden 60m rural, 2do 45m, 3er 30m + 15m antejardín. Pasos Urbanos Nacionales. Elimina subnumerales detallados</t>
        </is>
      </c>
      <c r="I48" s="2" t="inlineStr"/>
      <c r="J48" s="2" t="inlineStr">
        <is>
          <t>Sustancial</t>
        </is>
      </c>
      <c r="K48" s="6" t="inlineStr">
        <is>
          <t>Fondo</t>
        </is>
      </c>
      <c r="L48" s="2" t="inlineStr"/>
      <c r="M48" s="2" t="inlineStr">
        <is>
          <t>Armonización con Ley 1228/2008 y Decreto 1079/2015. Simplificación normativa</t>
        </is>
      </c>
    </row>
    <row r="49">
      <c r="A49" s="2" t="inlineStr">
        <is>
          <t>A. Sistema Público y Colectivo</t>
        </is>
      </c>
      <c r="B49" s="2" t="inlineStr">
        <is>
          <t>Movilidad</t>
        </is>
      </c>
      <c r="C49" s="2" t="inlineStr">
        <is>
          <t>8.5.5.4</t>
        </is>
      </c>
      <c r="D49" s="2" t="inlineStr"/>
      <c r="E49" s="2" t="inlineStr">
        <is>
          <t>Art. 186</t>
        </is>
      </c>
      <c r="F49" s="2" t="inlineStr">
        <is>
          <t>form_revision_pot-0221</t>
        </is>
      </c>
      <c r="G49" s="2" t="inlineStr">
        <is>
          <t>Criterios vías urbanas - secciones mínimas por jerarquía</t>
        </is>
      </c>
      <c r="H49" s="2" t="inlineStr">
        <is>
          <t>Secciones detalladas: Autopistas/VT (3 carriles/sentido, separador 4m, zonas verdes 4m, andenes 4m), Arterias (2 carriles/sentido, separador 1.50m), Colectoras (2 carriles), Servicio (2 carriles, sección mín 13m), Privadas (10m). Sistema Vial del Río. Motovías (carriles 1.65m mín). Plano Índice Proyectos Viales</t>
        </is>
      </c>
      <c r="I49" s="2" t="inlineStr"/>
      <c r="J49" s="2" t="inlineStr">
        <is>
          <t>Sustancial</t>
        </is>
      </c>
      <c r="K49" s="6" t="inlineStr">
        <is>
          <t>Fondo</t>
        </is>
      </c>
      <c r="L49" s="2" t="inlineStr"/>
      <c r="M49" s="2" t="inlineStr">
        <is>
          <t>Reduce anchos de carril (Desarrollo Orientado al Transporte). Incorpora motovías como concepto NUEVO. Flexibilidad para zonas consolidadas</t>
        </is>
      </c>
    </row>
    <row r="50">
      <c r="A50" s="2" t="inlineStr">
        <is>
          <t>A. Sistema Público y Colectivo</t>
        </is>
      </c>
      <c r="B50" s="2" t="inlineStr">
        <is>
          <t>Movilidad</t>
        </is>
      </c>
      <c r="C50" s="2" t="inlineStr">
        <is>
          <t>8.5.5.5</t>
        </is>
      </c>
      <c r="D50" s="2" t="inlineStr"/>
      <c r="E50" s="2" t="inlineStr">
        <is>
          <t>Art. 187</t>
        </is>
      </c>
      <c r="F50" s="2" t="inlineStr">
        <is>
          <t>form_revision_pot-0222</t>
        </is>
      </c>
      <c r="G50" s="2" t="inlineStr">
        <is>
          <t>Criterios vías municipales rurales</t>
        </is>
      </c>
      <c r="H50" s="2" t="inlineStr">
        <is>
          <t>Vías primarias rurales (calzada 6m, retiro 15m a eje), secundarias (calzada 4m, retiro 13.50m), terciarias (calzada 4m, retiro 13.50m). Criterios aplicables a tres tipologías. Excepciones topográficas. Placa Huella. Vías rurales en centros poblados = sección vía de servicio (13m)</t>
        </is>
      </c>
      <c r="I50" s="2" t="inlineStr"/>
      <c r="J50" s="2" t="inlineStr">
        <is>
          <t>Sustancial</t>
        </is>
      </c>
      <c r="K50" s="6" t="inlineStr">
        <is>
          <t>Fondo</t>
        </is>
      </c>
      <c r="L50" s="2" t="inlineStr"/>
      <c r="M50" s="2" t="inlineStr">
        <is>
          <t>Incorpora excepciones normativas para condicionantes topográficos y prediales. Armonización Ley 388/1997 y Decreto 1077/2015</t>
        </is>
      </c>
    </row>
    <row r="51">
      <c r="A51" s="2" t="inlineStr">
        <is>
          <t>A. Sistema Público y Colectivo</t>
        </is>
      </c>
      <c r="B51" s="2" t="inlineStr">
        <is>
          <t>Movilidad</t>
        </is>
      </c>
      <c r="C51" s="2" t="inlineStr">
        <is>
          <t>8.5.5.6</t>
        </is>
      </c>
      <c r="D51" s="2" t="inlineStr"/>
      <c r="E51" s="2" t="inlineStr">
        <is>
          <t>Arts. 189-190</t>
        </is>
      </c>
      <c r="F51" s="2" t="inlineStr">
        <is>
          <t>form_revision_pot-0205</t>
        </is>
      </c>
      <c r="G51" s="2" t="inlineStr">
        <is>
          <t>Lineamientos generales diseño, intervención y tratamiento sección vial</t>
        </is>
      </c>
      <c r="H51" s="2" t="inlineStr">
        <is>
          <t>Lineamientos por tipo de sector (API, patrimonial, alta pendiente, Mejoramiento Integral). Diseño vial: criterios técnicos, MEP Decreto 113/2017. Pendientes: 16% máx sin TP, 12% con TP, mín 0.5%. Tabla ancho carril normativo (Autopistas 3.50m, Arterias 3.25m, Colectoras 3.25m, Servicio 3.00m). Carril troncalizado mín 3.50m. Plano topográfico y diseño vial obligatorio (Decreto 568/2011)</t>
        </is>
      </c>
      <c r="I51" s="2" t="inlineStr"/>
      <c r="J51" s="2" t="inlineStr">
        <is>
          <t>Sustancial</t>
        </is>
      </c>
      <c r="K51" s="6" t="inlineStr">
        <is>
          <t>Fondo</t>
        </is>
      </c>
      <c r="L51" s="2" t="inlineStr"/>
      <c r="M51" s="2" t="inlineStr">
        <is>
          <t>Concepto DOT. Reemplazo "Ciudad Consolidada"→tratamientos urbanísticos. "Personas con discapacidad"→"personas con movilidad reducida" (Ley 1287/2009). NTC 4143, 4145 para accesibilidad</t>
        </is>
      </c>
    </row>
    <row r="52">
      <c r="A52" s="2" t="inlineStr">
        <is>
          <t>A. Sistema Público y Colectivo</t>
        </is>
      </c>
      <c r="B52" s="2" t="inlineStr">
        <is>
          <t>Movilidad</t>
        </is>
      </c>
      <c r="C52" s="2" t="inlineStr">
        <is>
          <t>8.5.5.7</t>
        </is>
      </c>
      <c r="D52" s="2" t="inlineStr"/>
      <c r="E52" s="2" t="inlineStr">
        <is>
          <t>N/A</t>
        </is>
      </c>
      <c r="F52" s="2" t="inlineStr">
        <is>
          <t>N/A</t>
        </is>
      </c>
      <c r="G52" s="2" t="inlineStr">
        <is>
          <t>Criterios de manejo para retornos</t>
        </is>
      </c>
      <c r="H52" s="2" t="inlineStr">
        <is>
          <t>NO SE MODIFICA</t>
        </is>
      </c>
      <c r="I52" s="2" t="inlineStr"/>
      <c r="J52" s="2" t="inlineStr">
        <is>
          <t>No se modifica</t>
        </is>
      </c>
      <c r="K52" s="4" t="inlineStr">
        <is>
          <t>Sin cambio</t>
        </is>
      </c>
      <c r="L52" s="2" t="inlineStr"/>
      <c r="M52" s="2" t="inlineStr">
        <is>
          <t>Se conserva sin cambios</t>
        </is>
      </c>
    </row>
    <row r="53">
      <c r="A53" s="2" t="inlineStr">
        <is>
          <t>A. Sistema Público y Colectivo</t>
        </is>
      </c>
      <c r="B53" s="2" t="inlineStr">
        <is>
          <t>Movilidad</t>
        </is>
      </c>
      <c r="C53" s="2" t="inlineStr">
        <is>
          <t>8.5.5.8</t>
        </is>
      </c>
      <c r="D53" s="2" t="inlineStr"/>
      <c r="E53" s="2" t="inlineStr">
        <is>
          <t>Art. 192</t>
        </is>
      </c>
      <c r="F53" s="2" t="inlineStr">
        <is>
          <t>form_revision_pot-0221</t>
        </is>
      </c>
      <c r="G53" s="2" t="inlineStr">
        <is>
          <t>Criterios accesos y salidas vehiculares</t>
        </is>
      </c>
      <c r="H53" s="2" t="inlineStr">
        <is>
          <t>Accesos ≥40 celdas por sobreanchos/vías servicio. Distancia mín 30m de accesos peatonales a estaciones transporte masivo. Distancia seguridad a intersecciones: 15m (≤30km/h), 20m (&gt;30km/h). No accesos contiguos en vías nacionales/arteriales sin doble calzada. Suelo rural: accesos por sobreancho/bahía</t>
        </is>
      </c>
      <c r="I53" s="2" t="inlineStr"/>
      <c r="J53" s="2" t="inlineStr">
        <is>
          <t>Sustancial</t>
        </is>
      </c>
      <c r="K53" s="6" t="inlineStr">
        <is>
          <t>Fondo</t>
        </is>
      </c>
      <c r="L53" s="2" t="inlineStr"/>
      <c r="M53" s="2" t="inlineStr">
        <is>
          <t>Integra enfoque de seguridad vial (Ley 2251/2022). Referencias AASHTO y Norma 3.1-IC España. Variables: jerarquía, velocidad, visibilidad, proximidad estaciones</t>
        </is>
      </c>
    </row>
    <row r="54">
      <c r="A54" s="2" t="inlineStr">
        <is>
          <t>A. Sistema Público y Colectivo</t>
        </is>
      </c>
      <c r="B54" s="2" t="inlineStr">
        <is>
          <t>Movilidad</t>
        </is>
      </c>
      <c r="C54" s="2" t="inlineStr">
        <is>
          <t>8.5.5.9</t>
        </is>
      </c>
      <c r="D54" s="2" t="inlineStr"/>
      <c r="E54" s="2" t="inlineStr">
        <is>
          <t>N/A</t>
        </is>
      </c>
      <c r="F54" s="2" t="inlineStr">
        <is>
          <t>N/A</t>
        </is>
      </c>
      <c r="G54" s="2" t="inlineStr">
        <is>
          <t>Criterios vías de servicio paralelas</t>
        </is>
      </c>
      <c r="H54" s="2" t="inlineStr">
        <is>
          <t>NO SE MODIFICA</t>
        </is>
      </c>
      <c r="I54" s="2" t="inlineStr"/>
      <c r="J54" s="2" t="inlineStr">
        <is>
          <t>No se modifica</t>
        </is>
      </c>
      <c r="K54" s="4" t="inlineStr">
        <is>
          <t>Sin cambio</t>
        </is>
      </c>
      <c r="L54" s="2" t="inlineStr"/>
      <c r="M54" s="2" t="inlineStr">
        <is>
          <t>Se conserva sin cambios</t>
        </is>
      </c>
    </row>
    <row r="55">
      <c r="A55" s="2" t="inlineStr">
        <is>
          <t>A. Sistema Público y Colectivo</t>
        </is>
      </c>
      <c r="B55" s="2" t="inlineStr">
        <is>
          <t>Movilidad</t>
        </is>
      </c>
      <c r="C55" s="2" t="inlineStr">
        <is>
          <t>8.5.5.10</t>
        </is>
      </c>
      <c r="D55" s="2" t="inlineStr"/>
      <c r="E55" s="2" t="inlineStr">
        <is>
          <t>Art. 194</t>
        </is>
      </c>
      <c r="F55" s="2" t="inlineStr">
        <is>
          <t>form_revision_pot-0222</t>
        </is>
      </c>
      <c r="G55" s="2" t="inlineStr">
        <is>
          <t>Criterios zona verde sección vial</t>
        </is>
      </c>
      <c r="H55" s="2" t="inlineStr">
        <is>
          <t>Priorización por mixtura de usos: baja/media mixtura (conservación paisajística, cobertura vegetal continua) vs alta mixtura (pisos duros posibles para franja peatonal). Compensación por lineamientos específicos. Integración con Estructura Ecológica Principal. Permeabilidad suelo, recarga acuífero</t>
        </is>
      </c>
      <c r="I55" s="2" t="inlineStr"/>
      <c r="J55" s="2" t="inlineStr">
        <is>
          <t>Sustancial</t>
        </is>
      </c>
      <c r="K55" s="6" t="inlineStr">
        <is>
          <t>Fondo</t>
        </is>
      </c>
      <c r="L55" s="2" t="inlineStr"/>
      <c r="M55" s="2" t="inlineStr">
        <is>
          <t>Determinantes ambientales: PIGECA, PMAA, PAC&amp;VC, Res. 2254/2017. Enfoque ecosistémico: islas de calor, infiltración, conectividad ecológica. Plan de Renaturalización</t>
        </is>
      </c>
    </row>
    <row r="56">
      <c r="A56" s="2" t="inlineStr">
        <is>
          <t>A. Sistema Público y Colectivo</t>
        </is>
      </c>
      <c r="B56" s="2" t="inlineStr">
        <is>
          <t>Movilidad</t>
        </is>
      </c>
      <c r="C56" s="2" t="inlineStr">
        <is>
          <t>8.5.5.11</t>
        </is>
      </c>
      <c r="D56" s="2" t="inlineStr"/>
      <c r="E56" s="2" t="inlineStr">
        <is>
          <t>Art. 195</t>
        </is>
      </c>
      <c r="F56" s="2" t="inlineStr">
        <is>
          <t>form_revision_pot-0223</t>
        </is>
      </c>
      <c r="G56" s="2" t="inlineStr">
        <is>
          <t>Criterios separador sección vial</t>
        </is>
      </c>
      <c r="H56" s="2" t="inlineStr">
        <is>
          <t>Distancia mín 200m entre aperturas. Dimensiones 1.00-5.00m según jerarquía. Islas peatonales mín 1.20m ancho, aumentando a 2.00m en alta circulación. Señalización Vial obligatoria. Compensación zonas verdes y arborización</t>
        </is>
      </c>
      <c r="I56" s="2" t="inlineStr"/>
      <c r="J56" s="2" t="inlineStr">
        <is>
          <t>Sustancial</t>
        </is>
      </c>
      <c r="K56" s="6" t="inlineStr">
        <is>
          <t>Fondo</t>
        </is>
      </c>
      <c r="L56" s="2" t="inlineStr"/>
      <c r="M56" s="2" t="inlineStr">
        <is>
          <t>Referentes: Norma 3.1 IC España, AASHTO Green Book. NTC accesibilidad. Comité Silvicultura Urbana y Paisajismo SIGAM. Funcionalidad ambiental del separador</t>
        </is>
      </c>
    </row>
    <row r="57">
      <c r="A57" s="2" t="inlineStr">
        <is>
          <t>A. Sistema Público y Colectivo</t>
        </is>
      </c>
      <c r="B57" s="2" t="inlineStr">
        <is>
          <t>Movilidad</t>
        </is>
      </c>
      <c r="C57" s="2" t="inlineStr">
        <is>
          <t>8.5.5.12</t>
        </is>
      </c>
      <c r="D57" s="2" t="inlineStr"/>
      <c r="E57" s="2" t="inlineStr">
        <is>
          <t>Art. 196</t>
        </is>
      </c>
      <c r="F57" s="2" t="inlineStr">
        <is>
          <t>form_revision_pot-0224</t>
        </is>
      </c>
      <c r="G57" s="2" t="inlineStr">
        <is>
          <t>Criterios sobreanchos sección vial</t>
        </is>
      </c>
      <c r="H57" s="2" t="inlineStr">
        <is>
          <t>Bahías paradero buses: ancho mín 3.00m, longitud mín 15m (autopistas/arterias/colectoras con TP) o 12m (servicio). Bahías ascenso/descenso TP: 2.50m ancho, 5.00m longitud mín. Sobreanchos acceso: 2.50m. Giros izquierda: 3.00m ancho, longitud 15m (autopistas) o 12m (sin TP). Sobrepaso: 3.00m ancho, 15m con TP o 12m sin TP. Radio giro mín 10m. Diferenciación bahías vs sobreanchos</t>
        </is>
      </c>
      <c r="I57" s="2" t="inlineStr"/>
      <c r="J57" s="2" t="inlineStr">
        <is>
          <t>Sustancial</t>
        </is>
      </c>
      <c r="K57" s="6" t="inlineStr">
        <is>
          <t>Fondo</t>
        </is>
      </c>
      <c r="L57" s="2" t="inlineStr"/>
      <c r="M57" s="2" t="inlineStr">
        <is>
          <t>Referentes AASHTO, Norma 3.1 IC España, ciudades Bogotá, Nueva York, Santiago de Chile. Señalización vertical y horizontal obligatoria</t>
        </is>
      </c>
    </row>
    <row r="58">
      <c r="A58" s="2" t="inlineStr">
        <is>
          <t>A. Sistema Público y Colectivo</t>
        </is>
      </c>
      <c r="B58" s="2" t="inlineStr">
        <is>
          <t>Movilidad</t>
        </is>
      </c>
      <c r="C58" s="2" t="inlineStr">
        <is>
          <t>8.5.5.13</t>
        </is>
      </c>
      <c r="D58" s="2" t="inlineStr"/>
      <c r="E58" s="2" t="inlineStr">
        <is>
          <t>Art. 197</t>
        </is>
      </c>
      <c r="F58" s="2" t="inlineStr">
        <is>
          <t>form_revision_pot-0225</t>
        </is>
      </c>
      <c r="G58" s="2" t="inlineStr">
        <is>
          <t>Criterios antejardín sección vial</t>
        </is>
      </c>
      <c r="H58" s="2" t="inlineStr">
        <is>
          <t>Tabla retiros: Vial Nacional rural 15m, Nacional urbano 10m, Rural Municipal 10m, Arterial 5m, Colectora 3m, Servicio 3m, Peatonal 3m. 11 criterios de manejo detallados. Eliminación compensación por muros/techos verdes. Prohibición ocupaciones permanentes. Redes SP en componentes sección vial</t>
        </is>
      </c>
      <c r="I58" s="2" t="inlineStr"/>
      <c r="J58" s="2" t="inlineStr">
        <is>
          <t>Sustancial</t>
        </is>
      </c>
      <c r="K58" s="6" t="inlineStr">
        <is>
          <t>Fondo</t>
        </is>
      </c>
      <c r="L58" s="2" t="inlineStr"/>
      <c r="M58" s="2" t="inlineStr">
        <is>
          <t>Integra Código Nacional Tránsito (Ley 769/2002), PAC&amp;VC, Plan Renaturalización, PMAA, Guías AMVA Construcción Sostenible. Enfoque ambiental: infiltración, recarga acuífero</t>
        </is>
      </c>
    </row>
    <row r="59">
      <c r="A59" s="2" t="inlineStr">
        <is>
          <t>A. Sistema Público y Colectivo</t>
        </is>
      </c>
      <c r="B59" s="2" t="inlineStr">
        <is>
          <t>Movilidad</t>
        </is>
      </c>
      <c r="C59" s="2" t="inlineStr">
        <is>
          <t>8.5.5.14</t>
        </is>
      </c>
      <c r="D59" s="2" t="inlineStr"/>
      <c r="E59" s="2" t="inlineStr">
        <is>
          <t>Arts. 198, 200</t>
        </is>
      </c>
      <c r="F59" s="2" t="inlineStr">
        <is>
          <t>form_revision_pot-0207</t>
        </is>
      </c>
      <c r="G59" s="2" t="inlineStr">
        <is>
          <t>Criterios infraestructura vehículo automotor</t>
        </is>
      </c>
      <c r="H59" s="2" t="inlineStr">
        <is>
          <t>Elimina 8.5.5.14.1 (parqueaderos públicos). Parqueaderos vía pública: zonas estacionamiento regulado (la Administración Distrital delimita). Parqueaderos mecanizados: Plan de Implantación obligatorio. Acopios TP Individual. Carriles alta ocupación: criterios implementación. NUEVO 8.5.5.14.6: gestión ruido fuentes móviles (pantallas, barreras acústicas, pavimentos aislantes)</t>
        </is>
      </c>
      <c r="I59" s="2" t="inlineStr"/>
      <c r="J59" s="2" t="inlineStr">
        <is>
          <t>Sustancial/Nuevo</t>
        </is>
      </c>
      <c r="K59" s="6" t="inlineStr">
        <is>
          <t>Fondo</t>
        </is>
      </c>
      <c r="L59" s="2" t="inlineStr"/>
      <c r="M59" s="2" t="inlineStr">
        <is>
          <t>Estacionamiento regulado como herramienta gestión demanda. Renumeración (elimina 8.5.5.14.1, renumera restantes). Nuevo numeral ruido (Acuerdo Met. 24/2019). Decreto Municipal 471/2018 para mecanizados</t>
        </is>
      </c>
    </row>
    <row r="60">
      <c r="A60" s="2" t="inlineStr">
        <is>
          <t>A. Sistema Público y Colectivo</t>
        </is>
      </c>
      <c r="B60" s="2" t="inlineStr">
        <is>
          <t>Movilidad</t>
        </is>
      </c>
      <c r="C60" s="2" t="inlineStr">
        <is>
          <t>8.5.5.15</t>
        </is>
      </c>
      <c r="D60" s="2" t="inlineStr"/>
      <c r="E60" s="2" t="inlineStr">
        <is>
          <t>Art. 199</t>
        </is>
      </c>
      <c r="F60" s="2" t="inlineStr">
        <is>
          <t>form_revision_pot-0209</t>
        </is>
      </c>
      <c r="G60" s="2" t="inlineStr">
        <is>
          <t>Sistema de integración intermodal</t>
        </is>
      </c>
      <c r="H60" s="2" t="inlineStr">
        <is>
          <t>Enfoque DOT (Desarrollo Orientado al Transporte). Intermodalidad sostenible: conexión transporte público, activo (caminata+bicicleta) y complementarios. Reducción dependencia vehículo particular</t>
        </is>
      </c>
      <c r="I60" s="2" t="inlineStr"/>
      <c r="J60" s="2" t="inlineStr">
        <is>
          <t>Sustancial</t>
        </is>
      </c>
      <c r="K60" s="6" t="inlineStr">
        <is>
          <t>Fondo</t>
        </is>
      </c>
      <c r="L60" s="2" t="inlineStr"/>
      <c r="M60" s="2" t="inlineStr">
        <is>
          <t>Determinantes ambientales múltiples: PIGECA, PAC&amp;VC, ZUAP, PICCA. PEMOT, PIDM. Plan Maestro Movilidad AMVA</t>
        </is>
      </c>
    </row>
    <row r="61">
      <c r="A61" s="2" t="inlineStr">
        <is>
          <t>B. Sistema de Ocupación</t>
        </is>
      </c>
      <c r="B61" s="2" t="inlineStr">
        <is>
          <t>Aprovechamientos Rurales</t>
        </is>
      </c>
      <c r="C61" s="2" t="inlineStr">
        <is>
          <t>9.10</t>
        </is>
      </c>
      <c r="D61" s="2" t="inlineStr">
        <is>
          <t>Alcance aprovechamientos rurales (Art. 417-418)</t>
        </is>
      </c>
      <c r="E61" s="2" t="inlineStr"/>
      <c r="F61" s="2" t="inlineStr"/>
      <c r="G61" s="2" t="inlineStr">
        <is>
          <t>Criterios generales de aprovechamientos para suelo rural. Normas orientadas a bajas densidades</t>
        </is>
      </c>
      <c r="H61" s="2" t="inlineStr">
        <is>
          <t>Se mantiene enfoque: bajas densidades, prevalencia actividades campesinas y aspectos naturales/ambientales. Se precisan criterios: minimizar impactos edificaciones en paisaje, áreas máximas edificables, índices de ocupación. Obligaciones como estrategia de compensación y dotación</t>
        </is>
      </c>
      <c r="I61" s="2" t="inlineStr"/>
      <c r="J61" s="2" t="inlineStr">
        <is>
          <t>SUSTANCIAL</t>
        </is>
      </c>
      <c r="K61" s="6" t="inlineStr">
        <is>
          <t>Fondo</t>
        </is>
      </c>
      <c r="L61" s="2" t="inlineStr"/>
      <c r="M61" s="2" t="inlineStr">
        <is>
          <t>Ficha SUB-TUSO-0020. Determinante: Res. 9328/2007 Corantioquia</t>
        </is>
      </c>
    </row>
    <row r="62">
      <c r="A62" s="2" t="inlineStr">
        <is>
          <t>B. Sistema de Ocupación</t>
        </is>
      </c>
      <c r="B62" s="2" t="inlineStr">
        <is>
          <t>Aprovechamientos Rurales</t>
        </is>
      </c>
      <c r="C62" s="2" t="inlineStr">
        <is>
          <t>9.10.1</t>
        </is>
      </c>
      <c r="D62" s="2" t="inlineStr">
        <is>
          <t>Parámetros generales construcción</t>
        </is>
      </c>
      <c r="E62" s="2" t="inlineStr"/>
      <c r="F62" s="2" t="inlineStr"/>
      <c r="G62" s="2" t="inlineStr">
        <is>
          <t>Lineamientos básicos por zona</t>
        </is>
      </c>
      <c r="H62" s="2" t="inlineStr">
        <is>
          <t>Se precisan: en áreas de reserva agrícola y aptitud forestal → ocupación mínima. En zonas mixtas → mayor área construida permitida con mezcla actividades. Prevalencia paisaje de bajas densidades</t>
        </is>
      </c>
      <c r="I62" s="2" t="inlineStr"/>
      <c r="J62" s="2" t="inlineStr">
        <is>
          <t>FORMAL</t>
        </is>
      </c>
      <c r="K62" s="3" t="inlineStr">
        <is>
          <t>Forma</t>
        </is>
      </c>
      <c r="L62" s="2" t="inlineStr"/>
      <c r="M62" s="2" t="inlineStr">
        <is>
          <t>Articulación con áreas de actividad del B9</t>
        </is>
      </c>
    </row>
    <row r="63">
      <c r="A63" s="2" t="inlineStr">
        <is>
          <t>B. Sistema de Ocupación</t>
        </is>
      </c>
      <c r="B63" s="2" t="inlineStr">
        <is>
          <t>Aprovechamientos Rurales</t>
        </is>
      </c>
      <c r="C63" s="2" t="inlineStr">
        <is>
          <t>9.10.2</t>
        </is>
      </c>
      <c r="D63" s="2" t="inlineStr">
        <is>
          <t>Aprovechamientos en suelo rural, protección y suburbano</t>
        </is>
      </c>
      <c r="E63" s="2" t="inlineStr"/>
      <c r="F63" s="2" t="inlineStr"/>
      <c r="G63" s="2" t="inlineStr">
        <is>
          <t>Definiciones generales</t>
        </is>
      </c>
      <c r="H63" s="2" t="inlineStr">
        <is>
          <t>Se precisan aprovechamientos diferenciados por clase de suelo: rural, protección, suburbano</t>
        </is>
      </c>
      <c r="I63" s="2" t="inlineStr"/>
      <c r="J63" s="2" t="inlineStr">
        <is>
          <t>FORMAL</t>
        </is>
      </c>
      <c r="K63" s="3" t="inlineStr">
        <is>
          <t>Forma</t>
        </is>
      </c>
      <c r="L63" s="2" t="inlineStr"/>
      <c r="M63" s="2" t="inlineStr">
        <is>
          <t>Nueva organización temática</t>
        </is>
      </c>
    </row>
    <row r="64">
      <c r="A64" s="2" t="inlineStr">
        <is>
          <t>B. Sistema de Ocupación</t>
        </is>
      </c>
      <c r="B64" s="2" t="inlineStr">
        <is>
          <t>Aprovechamientos Rurales</t>
        </is>
      </c>
      <c r="C64" s="2" t="inlineStr">
        <is>
          <t>9.10.3</t>
        </is>
      </c>
      <c r="D64" s="2" t="inlineStr">
        <is>
          <t>Índice de Ocupación (Arts. 420-421)</t>
        </is>
      </c>
      <c r="E64" s="2" t="inlineStr"/>
      <c r="F64" s="2" t="inlineStr"/>
      <c r="G64" s="2" t="inlineStr">
        <is>
          <t>Índices de ocupación genéricos</t>
        </is>
      </c>
      <c r="H64" s="2" t="inlineStr">
        <is>
          <t>Se diferencian por tratamiento: CS/GARS/RAR/TP con índices restrictivos + Consolidación Suburbana y Mejoramiento Integral con índices diferenciados por nivel (CSN1-CSN4). Tablas detalladas por tratamiento y uso</t>
        </is>
      </c>
      <c r="I64" s="2" t="inlineStr"/>
      <c r="J64" s="2" t="inlineStr">
        <is>
          <t>SUSTANCIAL</t>
        </is>
      </c>
      <c r="K64" s="6" t="inlineStr">
        <is>
          <t>Fondo</t>
        </is>
      </c>
      <c r="L64" s="2" t="inlineStr"/>
      <c r="M64" s="2" t="inlineStr">
        <is>
          <t>Articulación con 4 niveles Consolidación Suburbana del B8</t>
        </is>
      </c>
    </row>
    <row r="65">
      <c r="A65" s="2" t="inlineStr">
        <is>
          <t>B. Sistema de Ocupación</t>
        </is>
      </c>
      <c r="B65" s="2" t="inlineStr">
        <is>
          <t>Aprovechamientos Rurales</t>
        </is>
      </c>
      <c r="C65" s="2" t="inlineStr">
        <is>
          <t>9.10.4</t>
        </is>
      </c>
      <c r="D65" s="2" t="inlineStr">
        <is>
          <t>Áreas Máximas Edificables (Art. 422)</t>
        </is>
      </c>
      <c r="E65" s="2" t="inlineStr"/>
      <c r="F65" s="2" t="inlineStr"/>
      <c r="G65" s="2" t="inlineStr">
        <is>
          <t>Áreas máximas sin diferenciación detallada</t>
        </is>
      </c>
      <c r="H65" s="2" t="inlineStr">
        <is>
          <t>Se precisan áreas máximas edificables por tratamiento rural, uso del suelo y tipo de actividad. Tablas diferenciadas</t>
        </is>
      </c>
      <c r="I65" s="2" t="inlineStr"/>
      <c r="J65" s="2" t="inlineStr">
        <is>
          <t>SUSTANCIAL</t>
        </is>
      </c>
      <c r="K65" s="6" t="inlineStr">
        <is>
          <t>Fondo</t>
        </is>
      </c>
      <c r="L65" s="2" t="inlineStr"/>
      <c r="M65" s="2" t="inlineStr">
        <is>
          <t>Mayor granularidad normativa</t>
        </is>
      </c>
    </row>
    <row r="66">
      <c r="A66" s="2" t="inlineStr">
        <is>
          <t>B. Sistema de Ocupación</t>
        </is>
      </c>
      <c r="B66" s="2" t="inlineStr">
        <is>
          <t>Aprovechamientos Rurales</t>
        </is>
      </c>
      <c r="C66" s="2" t="inlineStr">
        <is>
          <t>9.10.5</t>
        </is>
      </c>
      <c r="D66" s="2" t="inlineStr">
        <is>
          <t>Densidades Máximas Habitacionales (Art. 424)</t>
        </is>
      </c>
      <c r="E66" s="2" t="inlineStr"/>
      <c r="F66" s="2" t="inlineStr"/>
      <c r="G66" s="2" t="inlineStr">
        <is>
          <t>Capítulo vigente con densidades definidas</t>
        </is>
      </c>
      <c r="H66" s="2" t="inlineStr">
        <is>
          <t>SE ELIMINA CAPÍTULO COMPLETO Y SE REEMPLAZA. Densidades reguladas por Res. 9328/2007 Corantioquia (determinante ambiental). Para centros poblados y suburbanos: máximo 30 viv/ha (mínima del componente urbano). Plan de trabajo propuesto con municipios del Área Metropolitana para criterios de ocupación conjuntos. Revisión conjunta con autoridad ambiental en 6 meses post-adopción</t>
        </is>
      </c>
      <c r="I66" s="2" t="inlineStr"/>
      <c r="J66" s="2" t="inlineStr">
        <is>
          <t>SUSTANCIAL</t>
        </is>
      </c>
      <c r="K66" s="6" t="inlineStr">
        <is>
          <t>Fondo</t>
        </is>
      </c>
      <c r="L66" s="2" t="inlineStr"/>
      <c r="M66" s="2" t="inlineStr">
        <is>
          <t>Cambio significativo: densidades pasan a ser reguladas por determinante ambiental. Compromiso revisión conjunta</t>
        </is>
      </c>
    </row>
    <row r="67">
      <c r="A67" s="2" t="inlineStr">
        <is>
          <t>B. Sistema de Ocupación</t>
        </is>
      </c>
      <c r="B67" s="2" t="inlineStr">
        <is>
          <t>Aprovechamientos Rurales</t>
        </is>
      </c>
      <c r="C67" s="2" t="inlineStr">
        <is>
          <t>9.10.6</t>
        </is>
      </c>
      <c r="D67" s="2" t="inlineStr">
        <is>
          <t>Altura Máxima Edificaciones (Art. 419)</t>
        </is>
      </c>
      <c r="E67" s="2" t="inlineStr"/>
      <c r="F67" s="2" t="inlineStr"/>
      <c r="G67" s="2" t="inlineStr">
        <is>
          <t>Alturas máximas básicas</t>
        </is>
      </c>
      <c r="H67" s="2" t="inlineStr">
        <is>
          <t>Se precisan por tratamiento: CS (Forestal Protector): 1 piso. GARS (Agroforestal): 2 pisos + buhardilla vivienda / 1 piso otros usos. RAR (Agrícola/Agropecuario): 2 pisos + buhardilla / 1 piso. TP (Minera): N/A vivienda / 1 piso. Consolidación Suburbana: diferenciado por nivel. Sótanos como casos especiales según topografía</t>
        </is>
      </c>
      <c r="I67" s="2" t="inlineStr"/>
      <c r="J67" s="2" t="inlineStr">
        <is>
          <t>SUSTANCIAL</t>
        </is>
      </c>
      <c r="K67" s="6" t="inlineStr">
        <is>
          <t>Fondo</t>
        </is>
      </c>
      <c r="L67" s="2" t="inlineStr"/>
      <c r="M67" s="2" t="inlineStr">
        <is>
          <t>Tablas detalladas por tratamiento y uso</t>
        </is>
      </c>
    </row>
    <row r="68">
      <c r="A68" s="2" t="inlineStr">
        <is>
          <t>B. Sistema de Ocupación</t>
        </is>
      </c>
      <c r="B68" s="2" t="inlineStr">
        <is>
          <t>Aprovechamientos Rurales</t>
        </is>
      </c>
      <c r="C68" s="2" t="inlineStr">
        <is>
          <t>9.10.7</t>
        </is>
      </c>
      <c r="D68" s="2" t="inlineStr">
        <is>
          <t>Área Mínima de Lote (Art. 432)</t>
        </is>
      </c>
      <c r="E68" s="2" t="inlineStr"/>
      <c r="F68" s="2" t="inlineStr"/>
      <c r="G68" s="2" t="inlineStr">
        <is>
          <t>Áreas mínimas de lote definidas</t>
        </is>
      </c>
      <c r="H68" s="2" t="inlineStr">
        <is>
          <t>Se precisa definición por tratamiento rural. Áreas mínimas entre 950m² y 1ha según tratamiento. Coherencia con preexistencias territoriales. Convenio revisión UAF con INCODER para áreas reales de sustento económico campesino</t>
        </is>
      </c>
      <c r="I68" s="2" t="inlineStr"/>
      <c r="J68" s="2" t="inlineStr">
        <is>
          <t>SUSTANCIAL</t>
        </is>
      </c>
      <c r="K68" s="6" t="inlineStr">
        <is>
          <t>Fondo</t>
        </is>
      </c>
      <c r="L68" s="2" t="inlineStr"/>
      <c r="M68" s="2" t="inlineStr">
        <is>
          <t>Vinculación con UAF (Unidad Agrícola Familiar)</t>
        </is>
      </c>
    </row>
    <row r="69">
      <c r="A69" s="2" t="inlineStr">
        <is>
          <t>B. Sistema de Ocupación</t>
        </is>
      </c>
      <c r="B69" s="2" t="inlineStr">
        <is>
          <t>Aprovechamientos Rurales</t>
        </is>
      </c>
      <c r="C69" s="2" t="inlineStr">
        <is>
          <t>9.10.8</t>
        </is>
      </c>
      <c r="D69" s="2" t="inlineStr">
        <is>
          <t>Unidad Mínima de Actuación (Art. 434)</t>
        </is>
      </c>
      <c r="E69" s="2" t="inlineStr"/>
      <c r="F69" s="2" t="inlineStr"/>
      <c r="G69" s="2" t="inlineStr">
        <is>
          <t>UMA para suelo suburbano</t>
        </is>
      </c>
      <c r="H69" s="2" t="inlineStr">
        <is>
          <t>Se precisa: mínimo 2 ha (Decreto 1077/2015). Aplicable a CSN4 (polígonos SC-CSN4-02 Conexión Aburrá-Cauca y SC-CSN4-03 Pedregal Alto). Excepción: casa individual del propietario. Parcelación: ≥5 predios, ≥2 ha. Accesibilidad vial, servicios públicos, protección cobertura forestal</t>
        </is>
      </c>
      <c r="I69" s="2" t="inlineStr"/>
      <c r="J69" s="2" t="inlineStr">
        <is>
          <t>SUSTANCIAL</t>
        </is>
      </c>
      <c r="K69" s="6" t="inlineStr">
        <is>
          <t>Fondo</t>
        </is>
      </c>
      <c r="L69" s="2" t="inlineStr"/>
      <c r="M69" s="2" t="inlineStr">
        <is>
          <t>Norma supradistrital: Decreto 1077/2015</t>
        </is>
      </c>
    </row>
    <row r="70">
      <c r="A70" s="2" t="inlineStr">
        <is>
          <t>B. Sistema de Ocupación</t>
        </is>
      </c>
      <c r="B70" s="2" t="inlineStr">
        <is>
          <t>Aprovechamientos Rurales</t>
        </is>
      </c>
      <c r="C70" s="2" t="inlineStr">
        <is>
          <t>9.10 (General)</t>
        </is>
      </c>
      <c r="D70" s="2" t="inlineStr">
        <is>
          <t>Locales en centralidades veredales y actividades económicas (Arts. 433, 436)</t>
        </is>
      </c>
      <c r="E70" s="2" t="inlineStr"/>
      <c r="F70" s="2" t="inlineStr"/>
      <c r="G70" s="2" t="inlineStr">
        <is>
          <t>Normas básicas para locales rurales</t>
        </is>
      </c>
      <c r="H70" s="2" t="inlineStr">
        <is>
          <t>Se precisan condiciones para locales en centralidades veredales y locales independientes para actividades económicas en suelo rural</t>
        </is>
      </c>
      <c r="I70" s="2" t="inlineStr"/>
      <c r="J70" s="2" t="inlineStr">
        <is>
          <t>FORMAL</t>
        </is>
      </c>
      <c r="K70" s="3" t="inlineStr">
        <is>
          <t>Forma</t>
        </is>
      </c>
      <c r="L70" s="2" t="inlineStr"/>
      <c r="M70" s="2" t="inlineStr">
        <is>
          <t>Complemento al régimen de usos B9</t>
        </is>
      </c>
    </row>
    <row r="71">
      <c r="A71" s="2" t="inlineStr">
        <is>
          <t>B. Sistema de Ocupación</t>
        </is>
      </c>
      <c r="B71" s="2" t="inlineStr">
        <is>
          <t>Cesiones Rurales</t>
        </is>
      </c>
      <c r="C71" s="2" t="inlineStr">
        <is>
          <t>9.11</t>
        </is>
      </c>
      <c r="D71" s="2" t="inlineStr">
        <is>
          <t>Áreas de cesión pública y obligaciones urbanísticas rurales (Arts. 426-430)</t>
        </is>
      </c>
      <c r="E71" s="2" t="inlineStr"/>
      <c r="F71" s="2" t="inlineStr"/>
      <c r="G71" s="2" t="inlineStr">
        <is>
          <t>Cesiones sólo para parcelaciones de vivienda campestre. Sin obligación de espacio público en suelo rural. Sólo equipamientos para vivienda campesina y otros usos</t>
        </is>
      </c>
      <c r="H71" s="2" t="inlineStr">
        <is>
          <t>Se universalizan cesiones: aporte general en TODOS los desarrollos urbanísticos y constructivos en suelo rural (no sólo parcelaciones campestres). Cesiones diferenciales proporcionales a aprovechamientos por polígono de tratamiento. Fundamentación en Ley 388/1997 art. 37 y Decreto 1077/2015 art. 2.2.6.2.4</t>
        </is>
      </c>
      <c r="I71" s="2" t="inlineStr"/>
      <c r="J71" s="2" t="inlineStr">
        <is>
          <t>SUSTANCIAL</t>
        </is>
      </c>
      <c r="K71" s="6" t="inlineStr">
        <is>
          <t>Fondo</t>
        </is>
      </c>
      <c r="L71" s="2" t="inlineStr"/>
      <c r="M71" s="2" t="inlineStr">
        <is>
          <t>Ficha SUB-TUSO-0023. Cambio de numeración: 9.9.3.2 → 9.11. Corrige vacío normativo de Acuerdos 062/1999 y 046/2006</t>
        </is>
      </c>
    </row>
    <row r="72">
      <c r="A72" s="2" t="inlineStr">
        <is>
          <t>B. Sistema de Ocupación</t>
        </is>
      </c>
      <c r="B72" s="2" t="inlineStr">
        <is>
          <t>Cesiones Rurales</t>
        </is>
      </c>
      <c r="C72" s="2" t="inlineStr">
        <is>
          <t>9.11 (análisis)</t>
        </is>
      </c>
      <c r="D72" s="2" t="inlineStr">
        <is>
          <t>Metodología para determinar cesiones</t>
        </is>
      </c>
      <c r="E72" s="2" t="inlineStr"/>
      <c r="F72" s="2" t="inlineStr"/>
      <c r="G72" s="2" t="inlineStr">
        <is>
          <t>Sin análisis técnico detallado para fundamentar cesiones rurales</t>
        </is>
      </c>
      <c r="H72" s="2" t="inlineStr">
        <is>
          <t>Se incorporan 6 análisis técnicos: 1) Valor del suelo, 2) Estratificación socioeconómica, 3) Comparativo con cesiones urbanas (CN3 y Renovación), 4) M² a generar en espacio público, 5) M² por habitante, 6) Definición por área construida para reconocimientos</t>
        </is>
      </c>
      <c r="I72" s="2" t="inlineStr"/>
      <c r="J72" s="2" t="inlineStr">
        <is>
          <t>NUEVO</t>
        </is>
      </c>
      <c r="K72" s="6" t="inlineStr">
        <is>
          <t>Fondo</t>
        </is>
      </c>
      <c r="L72" s="2" t="inlineStr"/>
      <c r="M72" s="2" t="inlineStr">
        <is>
          <t>Fundamentación técnica sin precedente para cesiones rurales</t>
        </is>
      </c>
    </row>
    <row r="73">
      <c r="A73" s="2" t="inlineStr">
        <is>
          <t>B. Sistema de Ocupación</t>
        </is>
      </c>
      <c r="B73" s="2" t="inlineStr">
        <is>
          <t>Cesiones Rurales</t>
        </is>
      </c>
      <c r="C73" s="2" t="inlineStr">
        <is>
          <t>9.11.1</t>
        </is>
      </c>
      <c r="D73" s="2" t="inlineStr">
        <is>
          <t>Obligaciones especiales CS, GARS y RAR (Art. 426)</t>
        </is>
      </c>
      <c r="E73" s="2" t="inlineStr"/>
      <c r="F73" s="2" t="inlineStr"/>
      <c r="G73" s="2" t="inlineStr">
        <is>
          <t>Sin obligación de cobertura boscosa como cesión</t>
        </is>
      </c>
      <c r="H73" s="2" t="inlineStr">
        <is>
          <t>Se asigna obligación de cobertura boscosa diferenciada: Conservación 95-98%, RAR 10%, GARS 10%, CSN1 con Mixto 1: 10%. Cuando hay elementos Estructura Ecológica Principal: mantener cobertura según caso</t>
        </is>
      </c>
      <c r="I73" s="2" t="inlineStr"/>
      <c r="J73" s="2" t="inlineStr">
        <is>
          <t>SUSTANCIAL</t>
        </is>
      </c>
      <c r="K73" s="6" t="inlineStr">
        <is>
          <t>Fondo</t>
        </is>
      </c>
      <c r="L73" s="2" t="inlineStr"/>
      <c r="M73" s="2" t="inlineStr">
        <is>
          <t>Innovación: cobertura boscosa como obligación urbanística especial</t>
        </is>
      </c>
    </row>
    <row r="74">
      <c r="A74" s="2" t="inlineStr">
        <is>
          <t>B. Sistema de Ocupación</t>
        </is>
      </c>
      <c r="B74" s="2" t="inlineStr">
        <is>
          <t>Cesiones Rurales</t>
        </is>
      </c>
      <c r="C74" s="2" t="inlineStr">
        <is>
          <t>9.11.2</t>
        </is>
      </c>
      <c r="D74" s="2" t="inlineStr">
        <is>
          <t>Cesiones urbanísticas CNS y polígonos con mayor aprovechamiento (Arts. 427-428)</t>
        </is>
      </c>
      <c r="E74" s="2" t="inlineStr"/>
      <c r="F74" s="2" t="inlineStr"/>
      <c r="G74" s="2" t="inlineStr">
        <is>
          <t>Cesiones sólo para parcelaciones campestres</t>
        </is>
      </c>
      <c r="H74" s="2" t="inlineStr">
        <is>
          <t>Cesiones proporcionales a aprovechamientos: mayor intensidad → mayor aporte para espacio público y equipamientos. Parcelaciones campestres existentes mantienen cesiones de licencia original. Tablas por corregimiento/vereda/código con % de cesión</t>
        </is>
      </c>
      <c r="I74" s="2" t="inlineStr"/>
      <c r="J74" s="2" t="inlineStr">
        <is>
          <t>SUSTANCIAL</t>
        </is>
      </c>
      <c r="K74" s="6" t="inlineStr">
        <is>
          <t>Fondo</t>
        </is>
      </c>
      <c r="L74" s="2" t="inlineStr"/>
      <c r="M74" s="2" t="inlineStr">
        <is>
          <t>Principio de proporcionalidad cargas-beneficios</t>
        </is>
      </c>
    </row>
    <row r="75">
      <c r="A75" s="2" t="inlineStr">
        <is>
          <t>B. Sistema de Ocupación</t>
        </is>
      </c>
      <c r="B75" s="2" t="inlineStr">
        <is>
          <t>Cesiones Rurales</t>
        </is>
      </c>
      <c r="C75" s="2" t="inlineStr">
        <is>
          <t>9.11.2.1</t>
        </is>
      </c>
      <c r="D75" s="2" t="inlineStr">
        <is>
          <t>M² a ceder por tipología de vivienda</t>
        </is>
      </c>
      <c r="E75" s="2" t="inlineStr"/>
      <c r="F75" s="2" t="inlineStr"/>
      <c r="G75" s="2" t="inlineStr">
        <is>
          <t>No definido</t>
        </is>
      </c>
      <c r="H75" s="2" t="inlineStr">
        <is>
          <t>Se definen cesiones por tipología: hasta 100m² construidos → 4.24m² cesión. Mayor a 100m² → 10.86m² cesión. Viviendas &gt;120m² → ceder 10.86m² para espacio público. Otros usos → 3% del área total construida</t>
        </is>
      </c>
      <c r="I75" s="2" t="inlineStr"/>
      <c r="J75" s="2" t="inlineStr">
        <is>
          <t>NUEVO</t>
        </is>
      </c>
      <c r="K75" s="6" t="inlineStr">
        <is>
          <t>Fondo</t>
        </is>
      </c>
      <c r="L75" s="2" t="inlineStr"/>
      <c r="M75" s="2" t="inlineStr">
        <is>
          <t>Cuantificación precisa de cesiones rurales</t>
        </is>
      </c>
    </row>
    <row r="76">
      <c r="A76" s="2" t="inlineStr">
        <is>
          <t>B. Sistema de Ocupación</t>
        </is>
      </c>
      <c r="B76" s="2" t="inlineStr">
        <is>
          <t>Cesiones Rurales</t>
        </is>
      </c>
      <c r="C76" s="2" t="inlineStr">
        <is>
          <t>9.11.2.2</t>
        </is>
      </c>
      <c r="D76" s="2" t="inlineStr">
        <is>
          <t>M² a ceder para reconocimientos y vivienda nueva</t>
        </is>
      </c>
      <c r="E76" s="2" t="inlineStr"/>
      <c r="F76" s="2" t="inlineStr"/>
      <c r="G76" s="2" t="inlineStr">
        <is>
          <t>No definido</t>
        </is>
      </c>
      <c r="H76" s="2" t="inlineStr">
        <is>
          <t>Reconocimientos (&gt;5 años antigüedad): conforme Decreto 1333/2020. Vivienda nueva: según tipología y área construida</t>
        </is>
      </c>
      <c r="I76" s="2" t="inlineStr"/>
      <c r="J76" s="2" t="inlineStr">
        <is>
          <t>NUEVO</t>
        </is>
      </c>
      <c r="K76" s="6" t="inlineStr">
        <is>
          <t>Fondo</t>
        </is>
      </c>
      <c r="L76" s="2" t="inlineStr"/>
      <c r="M76" s="2" t="inlineStr">
        <is>
          <t>Decreto 1333/2020 como marco para reconocimientos</t>
        </is>
      </c>
    </row>
    <row r="77">
      <c r="A77" s="2" t="inlineStr">
        <is>
          <t>B. Sistema de Ocupación</t>
        </is>
      </c>
      <c r="B77" s="2" t="inlineStr">
        <is>
          <t>Cesiones Rurales</t>
        </is>
      </c>
      <c r="C77" s="2" t="inlineStr">
        <is>
          <t>9.11.3</t>
        </is>
      </c>
      <c r="D77" s="2" t="inlineStr">
        <is>
          <t>Obligaciones viales para parcelaciones y subdivisión predial (Arts. 429-430)</t>
        </is>
      </c>
      <c r="E77" s="2" t="inlineStr"/>
      <c r="F77" s="2" t="inlineStr"/>
      <c r="G77" s="2" t="inlineStr">
        <is>
          <t>Obligaciones viales básicas</t>
        </is>
      </c>
      <c r="H77" s="2" t="inlineStr">
        <is>
          <t>Se precisan: vinculación a malla vial suburbana/rural, continuidad vial, cumplimiento plan vial y proyectos viales DAP. Vías obligadas según Plano Jerarquización Vial. Vigencia información: 2 años. Construcción y cesión al Distrito. Diferenciación por actuación urbanística (parcelación suburbana-rural, parcelación saneamiento)</t>
        </is>
      </c>
      <c r="I77" s="2" t="inlineStr"/>
      <c r="J77" s="2" t="inlineStr">
        <is>
          <t>SUSTANCIAL</t>
        </is>
      </c>
      <c r="K77" s="6" t="inlineStr">
        <is>
          <t>Fondo</t>
        </is>
      </c>
      <c r="L77" s="2" t="inlineStr"/>
      <c r="M77" s="2" t="inlineStr">
        <is>
          <t>Tablas por actuación urbanística y modalidad</t>
        </is>
      </c>
    </row>
    <row r="78">
      <c r="A78" s="2" t="inlineStr">
        <is>
          <t>B. Sistema de Ocupación</t>
        </is>
      </c>
      <c r="B78" s="2" t="inlineStr">
        <is>
          <t>Cesiones Rurales</t>
        </is>
      </c>
      <c r="C78" s="2" t="inlineStr">
        <is>
          <t>9.11 (General)</t>
        </is>
      </c>
      <c r="D78" s="2" t="inlineStr">
        <is>
          <t>Criterios/premisas para cesiones</t>
        </is>
      </c>
      <c r="E78" s="2" t="inlineStr"/>
      <c r="F78" s="2" t="inlineStr"/>
      <c r="G78" s="2" t="inlineStr">
        <is>
          <t>Sin criterios explícitos</t>
        </is>
      </c>
      <c r="H78" s="2" t="inlineStr">
        <is>
          <t>5 premisas: 1) Ordenamiento equilibrado para suplir carencias rurales, 2) Fomentar coberturas vegetales en CS, 3) Desarrollo armónico conjugando conservación y producción, 4) Espacialidades públicas para inclusión comunitaria corregimental, 5) Consolidar y fortalecer espacios públicos existentes</t>
        </is>
      </c>
      <c r="I78" s="2" t="inlineStr"/>
      <c r="J78" s="2" t="inlineStr">
        <is>
          <t>SUSTANCIAL</t>
        </is>
      </c>
      <c r="K78" s="6" t="inlineStr">
        <is>
          <t>Fondo</t>
        </is>
      </c>
      <c r="L78" s="2" t="inlineStr"/>
      <c r="M78" s="2" t="inlineStr">
        <is>
          <t>Marco conceptual para cesiones rurales</t>
        </is>
      </c>
    </row>
    <row r="79">
      <c r="A79" s="2" t="inlineStr">
        <is>
          <t>B. Sistema de Ocupación</t>
        </is>
      </c>
      <c r="B79" s="2" t="inlineStr">
        <is>
          <t>Cesiones Rurales</t>
        </is>
      </c>
      <c r="C79" s="2" t="inlineStr">
        <is>
          <t>9.11 (General)</t>
        </is>
      </c>
      <c r="D79" s="2" t="inlineStr">
        <is>
          <t>Obligaciones alojamiento y hospedaje</t>
        </is>
      </c>
      <c r="E79" s="2" t="inlineStr"/>
      <c r="F79" s="2" t="inlineStr"/>
      <c r="G79" s="2" t="inlineStr">
        <is>
          <t>No definidas para suelo rural</t>
        </is>
      </c>
      <c r="H79" s="2" t="inlineStr">
        <is>
          <t>Se asigna obligación para servicios de alojamiento y hospedaje en todos los tratamientos rurales</t>
        </is>
      </c>
      <c r="I79" s="2" t="inlineStr"/>
      <c r="J79" s="2" t="inlineStr">
        <is>
          <t>NUEVO</t>
        </is>
      </c>
      <c r="K79" s="6" t="inlineStr">
        <is>
          <t>Fondo</t>
        </is>
      </c>
      <c r="L79" s="2" t="inlineStr"/>
      <c r="M79" s="2" t="inlineStr">
        <is>
          <t>Reconoce impacto turístico en suelo rural</t>
        </is>
      </c>
    </row>
    <row r="80">
      <c r="A80" s="2" t="inlineStr">
        <is>
          <t>B. Sistema de Ocupación</t>
        </is>
      </c>
      <c r="B80" s="2" t="inlineStr">
        <is>
          <t>Normas Volumétricas</t>
        </is>
      </c>
      <c r="C80" s="2" t="inlineStr">
        <is>
          <t>Renumeración</t>
        </is>
      </c>
      <c r="D80" s="2" t="inlineStr">
        <is>
          <t>Renumeración</t>
        </is>
      </c>
      <c r="E80" s="2" t="inlineStr"/>
      <c r="F80" s="2" t="inlineStr"/>
      <c r="G80" s="2" t="inlineStr">
        <is>
          <t>DTS 9.10 Normas Volumétricas y Actuaciones Urbanísticas en Suelo Rural</t>
        </is>
      </c>
      <c r="H80" s="2" t="inlineStr">
        <is>
          <t>Renumerado a 9.12 Normas Volumétricas</t>
        </is>
      </c>
      <c r="I80" s="2" t="inlineStr"/>
      <c r="J80" s="2" t="inlineStr">
        <is>
          <t>FORMAL</t>
        </is>
      </c>
      <c r="K80" s="3" t="inlineStr">
        <is>
          <t>Forma</t>
        </is>
      </c>
      <c r="L80" s="2" t="inlineStr"/>
      <c r="M80" s="2" t="inlineStr">
        <is>
          <t>Ajuste de numeración por reorganización del articulado</t>
        </is>
      </c>
    </row>
    <row r="81">
      <c r="A81" s="2" t="inlineStr">
        <is>
          <t>B. Sistema de Ocupación</t>
        </is>
      </c>
      <c r="B81" s="2" t="inlineStr">
        <is>
          <t>Normas Volumétricas</t>
        </is>
      </c>
      <c r="C81" s="2" t="inlineStr">
        <is>
          <t>9.12.1 Frentes Mínimos – Consolidación Suburbana</t>
        </is>
      </c>
      <c r="D81" s="2" t="inlineStr">
        <is>
          <t>9.12.1 Frentes Mínimos – Consolidación Suburbana</t>
        </is>
      </c>
      <c r="E81" s="2" t="inlineStr"/>
      <c r="F81" s="2" t="inlineStr"/>
      <c r="G81" s="2" t="inlineStr">
        <is>
          <t>Frente mínimo 6 metros para polígonos con consolidación suburbana</t>
        </is>
      </c>
      <c r="H81" s="2" t="inlineStr">
        <is>
          <t>Frente mínimo reducido a 5 metros</t>
        </is>
      </c>
      <c r="I81" s="2" t="inlineStr"/>
      <c r="J81" s="2" t="inlineStr">
        <is>
          <t>SUSTANCIAL</t>
        </is>
      </c>
      <c r="K81" s="6" t="inlineStr">
        <is>
          <t>Fondo</t>
        </is>
      </c>
      <c r="L81" s="2" t="inlineStr"/>
      <c r="M81" s="2" t="inlineStr">
        <is>
          <t>Flexibiliza condiciones para centros poblados y suburbanos</t>
        </is>
      </c>
    </row>
    <row r="82">
      <c r="A82" s="2" t="inlineStr">
        <is>
          <t>B. Sistema de Ocupación</t>
        </is>
      </c>
      <c r="B82" s="2" t="inlineStr">
        <is>
          <t>Normas Volumétricas</t>
        </is>
      </c>
      <c r="C82" s="2" t="inlineStr">
        <is>
          <t>9.12.1 Frentes Mínimos – Campestre</t>
        </is>
      </c>
      <c r="D82" s="2" t="inlineStr">
        <is>
          <t>9.12.1 Frentes Mínimos – Campestre</t>
        </is>
      </c>
      <c r="E82" s="2" t="inlineStr"/>
      <c r="F82" s="2" t="inlineStr"/>
      <c r="G82" s="2" t="inlineStr">
        <is>
          <t>Frente mínimo 10 metros para parcelaciones vivienda campestre</t>
        </is>
      </c>
      <c r="H82" s="2" t="inlineStr">
        <is>
          <t>Frente mínimo aumentado a 15 metros</t>
        </is>
      </c>
      <c r="I82" s="2" t="inlineStr"/>
      <c r="J82" s="2" t="inlineStr">
        <is>
          <t>SUSTANCIAL</t>
        </is>
      </c>
      <c r="K82" s="6" t="inlineStr">
        <is>
          <t>Fondo</t>
        </is>
      </c>
      <c r="L82" s="2" t="inlineStr"/>
      <c r="M82" s="2" t="inlineStr">
        <is>
          <t>Mayor exigencia para desarrollos campestres</t>
        </is>
      </c>
    </row>
    <row r="83">
      <c r="A83" s="2" t="inlineStr">
        <is>
          <t>B. Sistema de Ocupación</t>
        </is>
      </c>
      <c r="B83" s="2" t="inlineStr">
        <is>
          <t>Normas Volumétricas</t>
        </is>
      </c>
      <c r="C83" s="2" t="inlineStr">
        <is>
          <t>9.12.1 Tabla de frentes mínimos</t>
        </is>
      </c>
      <c r="D83" s="2" t="inlineStr">
        <is>
          <t>9.12.1 Tabla de frentes mínimos</t>
        </is>
      </c>
      <c r="E83" s="2" t="inlineStr"/>
      <c r="F83" s="2" t="inlineStr"/>
      <c r="G83" s="2" t="inlineStr">
        <is>
          <t>Tabla genérica con categorías básicas (PE, RECO, GAF, PA, RAR)</t>
        </is>
      </c>
      <c r="H83" s="2" t="inlineStr">
        <is>
          <t>Nueva tabla diferenciada por tratamiento (CSN1-4, MI) y área de actividad (Mixto Rural 1, 2, 3)</t>
        </is>
      </c>
      <c r="I83" s="2" t="inlineStr"/>
      <c r="J83" s="2" t="inlineStr">
        <is>
          <t>SUSTANCIAL</t>
        </is>
      </c>
      <c r="K83" s="6" t="inlineStr">
        <is>
          <t>Fondo</t>
        </is>
      </c>
      <c r="L83" s="2" t="inlineStr"/>
      <c r="M83" s="2" t="inlineStr">
        <is>
          <t>Mayor precisión regulatoria por tipo de tratamiento</t>
        </is>
      </c>
    </row>
    <row r="84">
      <c r="A84" s="2" t="inlineStr">
        <is>
          <t>B. Sistema de Ocupación</t>
        </is>
      </c>
      <c r="B84" s="2" t="inlineStr">
        <is>
          <t>Normas Volumétricas</t>
        </is>
      </c>
      <c r="C84" s="2" t="inlineStr">
        <is>
          <t>9.12.2 Retiros a linderos</t>
        </is>
      </c>
      <c r="D84" s="2" t="inlineStr">
        <is>
          <t>9.12.2 Retiros a linderos</t>
        </is>
      </c>
      <c r="E84" s="2" t="inlineStr"/>
      <c r="F84" s="2" t="inlineStr"/>
      <c r="G84" s="2" t="inlineStr">
        <is>
          <t>Retiros definidos genéricamente para suelo rural</t>
        </is>
      </c>
      <c r="H84" s="2" t="inlineStr">
        <is>
          <t>Se mantiene estructura general; retiros diferenciados: Rural 10m, Centros Poblados vivienda individual 2m (exento &lt;500m²), Suburbano 3m, Parcelación perimetral 10m (5m entre viviendas campestres)</t>
        </is>
      </c>
      <c r="I84" s="2" t="inlineStr"/>
      <c r="J84" s="2" t="inlineStr">
        <is>
          <t>FORMAL</t>
        </is>
      </c>
      <c r="K84" s="3" t="inlineStr">
        <is>
          <t>Forma</t>
        </is>
      </c>
      <c r="L84" s="2" t="inlineStr"/>
      <c r="M84" s="2" t="inlineStr">
        <is>
          <t>Conserva parámetros con precisiones de redacción</t>
        </is>
      </c>
    </row>
    <row r="85">
      <c r="A85" s="2" t="inlineStr">
        <is>
          <t>B. Sistema de Ocupación</t>
        </is>
      </c>
      <c r="B85" s="2" t="inlineStr">
        <is>
          <t>Normas Volumétricas</t>
        </is>
      </c>
      <c r="C85" s="2" t="inlineStr">
        <is>
          <t>9.12.3 Reconocimiento – Principio prevalencia</t>
        </is>
      </c>
      <c r="D85" s="2" t="inlineStr">
        <is>
          <t>9.12.3 Reconocimiento – Principio prevalencia</t>
        </is>
      </c>
      <c r="E85" s="2" t="inlineStr"/>
      <c r="F85" s="2" t="inlineStr"/>
      <c r="G85" s="2" t="inlineStr">
        <is>
          <t>Fecha de referencia vinculada a Res. 9328/2007 Corantioquia</t>
        </is>
      </c>
      <c r="H85" s="2" t="inlineStr">
        <is>
          <t>Se establece principio de prevalencia normativa: ley y decreto nacional prevalecen sobre normas corporativas</t>
        </is>
      </c>
      <c r="I85" s="2" t="inlineStr"/>
      <c r="J85" s="2" t="inlineStr">
        <is>
          <t>SUSTANCIAL</t>
        </is>
      </c>
      <c r="K85" s="6" t="inlineStr">
        <is>
          <t>Fondo</t>
        </is>
      </c>
      <c r="L85" s="2" t="inlineStr"/>
      <c r="M85" s="2" t="inlineStr">
        <is>
          <t>Cambio conceptual importante: Decreto 1077/2015 prevalece sobre resolución de Corantioquia</t>
        </is>
      </c>
    </row>
    <row r="86">
      <c r="A86" s="2" t="inlineStr">
        <is>
          <t>B. Sistema de Ocupación</t>
        </is>
      </c>
      <c r="B86" s="2" t="inlineStr">
        <is>
          <t>Normas Volumétricas</t>
        </is>
      </c>
      <c r="C86" s="2" t="inlineStr">
        <is>
          <t>9.12.3 Reconocimiento – Condiciones generales</t>
        </is>
      </c>
      <c r="D86" s="2" t="inlineStr">
        <is>
          <t>9.12.3 Reconocimiento – Condiciones generales</t>
        </is>
      </c>
      <c r="E86" s="2" t="inlineStr"/>
      <c r="F86" s="2" t="inlineStr"/>
      <c r="G86" s="2" t="inlineStr">
        <is>
          <t>Regulación genérica del reconocimiento</t>
        </is>
      </c>
      <c r="H86" s="2" t="inlineStr">
        <is>
          <t>Condiciones detalladas: máx. 2 pisos, 4 destinaciones, pre-20 marzo 2007, una sola edificación independiente, cumplimiento sismo-resistencia</t>
        </is>
      </c>
      <c r="I86" s="2" t="inlineStr"/>
      <c r="J86" s="2" t="inlineStr">
        <is>
          <t>SUSTANCIAL</t>
        </is>
      </c>
      <c r="K86" s="6" t="inlineStr">
        <is>
          <t>Fondo</t>
        </is>
      </c>
      <c r="L86" s="2" t="inlineStr"/>
      <c r="M86" s="2" t="inlineStr">
        <is>
          <t>Mayor rigor técnico. Incorpora Decreto 471/2018</t>
        </is>
      </c>
    </row>
    <row r="87">
      <c r="A87" s="2" t="inlineStr">
        <is>
          <t>B. Sistema de Ocupación</t>
        </is>
      </c>
      <c r="B87" s="2" t="inlineStr">
        <is>
          <t>Normas Volumétricas</t>
        </is>
      </c>
      <c r="C87" s="2" t="inlineStr">
        <is>
          <t>9.12.3 Reconocimiento – Por tratamiento</t>
        </is>
      </c>
      <c r="D87" s="2" t="inlineStr">
        <is>
          <t>9.12.3 Reconocimiento – Por tratamiento</t>
        </is>
      </c>
      <c r="E87" s="2" t="inlineStr"/>
      <c r="F87" s="2" t="inlineStr"/>
      <c r="G87" s="2" t="inlineStr">
        <is>
          <t>Sin diferenciación por tratamiento para reconocimiento</t>
        </is>
      </c>
      <c r="H87" s="2" t="inlineStr">
        <is>
          <t>Diferenciado: GARS (1 viv, mín 1ha), RAR (1 viv, mín 6.400m²), CS centros poblados (100m²), CS suburbanos (1.000m²), MI (según UPR), Conservación (10ha)</t>
        </is>
      </c>
      <c r="I87" s="2" t="inlineStr"/>
      <c r="J87" s="2" t="inlineStr">
        <is>
          <t>NUEVO</t>
        </is>
      </c>
      <c r="K87" s="6" t="inlineStr">
        <is>
          <t>Fondo</t>
        </is>
      </c>
      <c r="L87" s="2" t="inlineStr"/>
      <c r="M87" s="2" t="inlineStr">
        <is>
          <t>Primera regulación detallada por tipo de tratamiento</t>
        </is>
      </c>
    </row>
    <row r="88">
      <c r="A88" s="2" t="inlineStr">
        <is>
          <t>B. Sistema de Ocupación</t>
        </is>
      </c>
      <c r="B88" s="2" t="inlineStr">
        <is>
          <t>Normas Volumétricas</t>
        </is>
      </c>
      <c r="C88" s="2" t="inlineStr">
        <is>
          <t>9.12.3 Reconocimiento – Otros usos</t>
        </is>
      </c>
      <c r="D88" s="2" t="inlineStr">
        <is>
          <t>9.12.3 Reconocimiento – Otros usos</t>
        </is>
      </c>
      <c r="E88" s="2" t="inlineStr"/>
      <c r="F88" s="2" t="inlineStr"/>
      <c r="G88" s="2" t="inlineStr">
        <is>
          <t>Sin regulación de reconocimiento para usos no residenciales</t>
        </is>
      </c>
      <c r="H88" s="2" t="inlineStr">
        <is>
          <t>Nuevo: 1 local en primer piso, máx 30m², acceso desde vía pública, sin desplazar vivienda</t>
        </is>
      </c>
      <c r="I88" s="2" t="inlineStr"/>
      <c r="J88" s="2" t="inlineStr">
        <is>
          <t>NUEVO</t>
        </is>
      </c>
      <c r="K88" s="6" t="inlineStr">
        <is>
          <t>Fondo</t>
        </is>
      </c>
      <c r="L88" s="2" t="inlineStr"/>
      <c r="M88" s="2" t="inlineStr">
        <is>
          <t>Llena vacío normativo para edificaciones no residenciales</t>
        </is>
      </c>
    </row>
    <row r="89">
      <c r="A89" s="2" t="inlineStr">
        <is>
          <t>B. Sistema de Ocupación</t>
        </is>
      </c>
      <c r="B89" s="2" t="inlineStr">
        <is>
          <t>Normas Volumétricas</t>
        </is>
      </c>
      <c r="C89" s="2" t="inlineStr">
        <is>
          <t>9.12.3 Reconocimiento – Conservación</t>
        </is>
      </c>
      <c r="D89" s="2" t="inlineStr">
        <is>
          <t>9.12.3 Reconocimiento – Conservación</t>
        </is>
      </c>
      <c r="E89" s="2" t="inlineStr"/>
      <c r="F89" s="2" t="inlineStr"/>
      <c r="G89" s="2" t="inlineStr">
        <is>
          <t>Área mínima 38 ha (Res. 9328/2007)</t>
        </is>
      </c>
      <c r="H89" s="2" t="inlineStr">
        <is>
          <t>Área mínima reducida a 10 ha</t>
        </is>
      </c>
      <c r="I89" s="2" t="inlineStr"/>
      <c r="J89" s="2" t="inlineStr">
        <is>
          <t>SUSTANCIAL</t>
        </is>
      </c>
      <c r="K89" s="6" t="inlineStr">
        <is>
          <t>Fondo</t>
        </is>
      </c>
      <c r="L89" s="2" t="inlineStr"/>
      <c r="M89" s="2" t="inlineStr">
        <is>
          <t>Cambio significativo: reduce exigencia de área a 10ha para reconocimiento en suelos de conservación</t>
        </is>
      </c>
    </row>
    <row r="90">
      <c r="A90" s="2" t="inlineStr">
        <is>
          <t>B. Sistema de Ocupación</t>
        </is>
      </c>
      <c r="B90" s="2" t="inlineStr">
        <is>
          <t>Normas Volumétricas</t>
        </is>
      </c>
      <c r="C90" s="2" t="inlineStr">
        <is>
          <t>9.12.3 Reconocimiento – Zonas amenaza</t>
        </is>
      </c>
      <c r="D90" s="2" t="inlineStr">
        <is>
          <t>9.12.3 Reconocimiento – Zonas amenaza</t>
        </is>
      </c>
      <c r="E90" s="2" t="inlineStr"/>
      <c r="F90" s="2" t="inlineStr"/>
      <c r="G90" s="2" t="inlineStr">
        <is>
          <t>Sin regulación específica</t>
        </is>
      </c>
      <c r="H90" s="2" t="inlineStr">
        <is>
          <t>Edificaciones en zonas amenaza alta requieren estudios detalle según Decreto Distrital 265/2022</t>
        </is>
      </c>
      <c r="I90" s="2" t="inlineStr"/>
      <c r="J90" s="2" t="inlineStr">
        <is>
          <t>NUEVO</t>
        </is>
      </c>
      <c r="K90" s="6" t="inlineStr">
        <is>
          <t>Fondo</t>
        </is>
      </c>
      <c r="L90" s="2" t="inlineStr"/>
      <c r="M90" s="2" t="inlineStr">
        <is>
          <t>Vincula reconocimiento con gestión del riesgo</t>
        </is>
      </c>
    </row>
    <row r="91">
      <c r="A91" s="2" t="inlineStr">
        <is>
          <t>B. Sistema de Ocupación</t>
        </is>
      </c>
      <c r="B91" s="2" t="inlineStr">
        <is>
          <t>Normas Volumétricas</t>
        </is>
      </c>
      <c r="C91" s="2" t="inlineStr">
        <is>
          <t>9.12.4 Subdivisión Predial</t>
        </is>
      </c>
      <c r="D91" s="2" t="inlineStr">
        <is>
          <t>9.12.4 Subdivisión Predial</t>
        </is>
      </c>
      <c r="E91" s="2" t="inlineStr"/>
      <c r="F91" s="2" t="inlineStr"/>
      <c r="G91" s="2" t="inlineStr">
        <is>
          <t>Proceso de partición sin límite explícito de predios resultantes</t>
        </is>
      </c>
      <c r="H91" s="2" t="inlineStr">
        <is>
          <t>Máximo 4 predios resultantes. Frente a vía terciaria obligatorio. Si lote resultante ≥ 2x área mínima, debe optar por parcelación</t>
        </is>
      </c>
      <c r="I91" s="2" t="inlineStr"/>
      <c r="J91" s="2" t="inlineStr">
        <is>
          <t>SUSTANCIAL</t>
        </is>
      </c>
      <c r="K91" s="6" t="inlineStr">
        <is>
          <t>Fondo</t>
        </is>
      </c>
      <c r="L91" s="2" t="inlineStr"/>
      <c r="M91" s="2" t="inlineStr">
        <is>
          <t>Mayor regulación: límite cuantitativo y regla del doble del área mínima</t>
        </is>
      </c>
    </row>
    <row r="92">
      <c r="A92" s="2" t="inlineStr">
        <is>
          <t>B. Sistema de Ocupación</t>
        </is>
      </c>
      <c r="B92" s="2" t="inlineStr">
        <is>
          <t>Normas Volumétricas</t>
        </is>
      </c>
      <c r="C92" s="2" t="inlineStr">
        <is>
          <t>9.12.5 Parcelación</t>
        </is>
      </c>
      <c r="D92" s="2" t="inlineStr">
        <is>
          <t>9.12.5 Parcelación</t>
        </is>
      </c>
      <c r="E92" s="2" t="inlineStr"/>
      <c r="F92" s="2" t="inlineStr"/>
      <c r="G92" s="2" t="inlineStr">
        <is>
          <t>Generalidades básicas de parcelación</t>
        </is>
      </c>
      <c r="H92" s="2" t="inlineStr">
        <is>
          <t>Se formalizan 2 tipos: habitacional (vivienda exclusiva) y especializada (comercial, industrial, servicios, dotacional). Régimen propiedad horizontal. Autoprestación servicios públicos</t>
        </is>
      </c>
      <c r="I92" s="2" t="inlineStr"/>
      <c r="J92" s="2" t="inlineStr">
        <is>
          <t>SUSTANCIAL</t>
        </is>
      </c>
      <c r="K92" s="6" t="inlineStr">
        <is>
          <t>Fondo</t>
        </is>
      </c>
      <c r="L92" s="2" t="inlineStr"/>
      <c r="M92" s="2" t="inlineStr">
        <is>
          <t>Tipificación formal de modalidades de parcelación</t>
        </is>
      </c>
    </row>
    <row r="93">
      <c r="A93" s="2" t="inlineStr">
        <is>
          <t>B. Sistema de Ocupación</t>
        </is>
      </c>
      <c r="B93" s="2" t="inlineStr">
        <is>
          <t>DOT</t>
        </is>
      </c>
      <c r="C93" s="2" t="inlineStr">
        <is>
          <t>9.1 DOT (general)</t>
        </is>
      </c>
      <c r="D93" s="2" t="inlineStr"/>
      <c r="E93" s="2" t="inlineStr"/>
      <c r="F93" s="2" t="inlineStr"/>
      <c r="G93" s="2" t="inlineStr">
        <is>
          <t>No existe como sección independiente. Arts. 280 y 506 mencionan corredores estructurantes con mayor edificabilidad, pero sin estrategia integral DOT</t>
        </is>
      </c>
      <c r="H93" s="2" t="inlineStr">
        <is>
          <t>Nuevo título 9.1: Desarrollo Orientado al Transporte. Estrategia integral que articula movilidad, habitacional, espacio público y captura de valor en áreas de influencia del transporte masivo</t>
        </is>
      </c>
      <c r="I93" s="2" t="inlineStr"/>
      <c r="J93" s="2" t="inlineStr">
        <is>
          <t>NUEVO</t>
        </is>
      </c>
      <c r="K93" s="6" t="inlineStr">
        <is>
          <t>Fondo</t>
        </is>
      </c>
      <c r="L93" s="2" t="inlineStr"/>
      <c r="M93" s="2" t="inlineStr">
        <is>
          <t>Sección enteramente nueva. Desplaza centralidades a 9.2</t>
        </is>
      </c>
    </row>
    <row r="94">
      <c r="A94" s="2" t="inlineStr">
        <is>
          <t>B. Sistema de Ocupación</t>
        </is>
      </c>
      <c r="B94" s="2" t="inlineStr">
        <is>
          <t>DOT</t>
        </is>
      </c>
      <c r="C94" s="2" t="inlineStr">
        <is>
          <t>9.1.1 Delimitación Ámbitos DOT</t>
        </is>
      </c>
      <c r="D94" s="2" t="inlineStr"/>
      <c r="E94" s="2" t="inlineStr"/>
      <c r="F94" s="2" t="inlineStr"/>
      <c r="G94" s="2" t="inlineStr">
        <is>
          <t>No existía delimitación de áreas de influencia asociadas a estaciones</t>
        </is>
      </c>
      <c r="H94" s="2" t="inlineStr">
        <is>
          <t>Ámbitos DOT: áreas específicas con radios de influencia por accesibilidad peatonal, capacidad soporte, integración centralidades. Delimitación cartográfica protocolizada</t>
        </is>
      </c>
      <c r="I94" s="2" t="inlineStr"/>
      <c r="J94" s="2" t="inlineStr">
        <is>
          <t>NUEVO</t>
        </is>
      </c>
      <c r="K94" s="6" t="inlineStr">
        <is>
          <t>Fondo</t>
        </is>
      </c>
      <c r="L94" s="2" t="inlineStr"/>
      <c r="M94" s="2" t="inlineStr">
        <is>
          <t>Mapas protocolizados nuevos</t>
        </is>
      </c>
    </row>
    <row r="95">
      <c r="A95" s="2" t="inlineStr">
        <is>
          <t>B. Sistema de Ocupación</t>
        </is>
      </c>
      <c r="B95" s="2" t="inlineStr">
        <is>
          <t>DOT</t>
        </is>
      </c>
      <c r="C95" s="2" t="inlineStr">
        <is>
          <t>9.1.2 Norma Urbanística Diferencial</t>
        </is>
      </c>
      <c r="D95" s="2" t="inlineStr"/>
      <c r="E95" s="2" t="inlineStr"/>
      <c r="F95" s="2" t="inlineStr"/>
      <c r="G95" s="2" t="inlineStr">
        <is>
          <t>Incremento edificabilidad en corredores, sin regulación diferencial específica por proximidad a estaciones</t>
        </is>
      </c>
      <c r="H95" s="2" t="inlineStr">
        <is>
          <t>Norma diferencial: parámetros específicos edificabilidad, densidad habitacional, proporción usos, condiciones implantación. Prioriza VIS/VIP, vivienda colectiva, activación primer piso</t>
        </is>
      </c>
      <c r="I95" s="2" t="inlineStr"/>
      <c r="J95" s="2" t="inlineStr">
        <is>
          <t>NUEVO</t>
        </is>
      </c>
      <c r="K95" s="6" t="inlineStr">
        <is>
          <t>Fondo</t>
        </is>
      </c>
      <c r="L95" s="2" t="inlineStr"/>
      <c r="M95" s="2" t="inlineStr">
        <is>
          <t>Densificación estratégica en función de capacidad de soporte</t>
        </is>
      </c>
    </row>
    <row r="96">
      <c r="A96" s="2" t="inlineStr">
        <is>
          <t>B. Sistema de Ocupación</t>
        </is>
      </c>
      <c r="B96" s="2" t="inlineStr">
        <is>
          <t>DOT</t>
        </is>
      </c>
      <c r="C96" s="2" t="inlineStr">
        <is>
          <t>9.1.3 Aprovechamientos y Obligaciones</t>
        </is>
      </c>
      <c r="D96" s="2" t="inlineStr"/>
      <c r="E96" s="2" t="inlineStr"/>
      <c r="F96" s="2" t="inlineStr"/>
      <c r="G96" s="2" t="inlineStr">
        <is>
          <t>Derechos adicionales construcción (Art. 506) sin articulación DOT</t>
        </is>
      </c>
      <c r="H96" s="2" t="inlineStr">
        <is>
          <t>Condiciones diferenciales aprovechamiento base y adicional. Obligaciones: espacio público, infraestructura peatonal/ciclista, equipamientos proximidad, sostenibilidad movilidad. Instrumentos: plusvalía, derecho real de superficie</t>
        </is>
      </c>
      <c r="I96" s="2" t="inlineStr"/>
      <c r="J96" s="2" t="inlineStr">
        <is>
          <t>NUEVO</t>
        </is>
      </c>
      <c r="K96" s="6" t="inlineStr">
        <is>
          <t>Fondo</t>
        </is>
      </c>
      <c r="L96" s="2" t="inlineStr"/>
      <c r="M96" s="2" t="inlineStr">
        <is>
          <t>Captura de valor redistributiva en ámbito territorial</t>
        </is>
      </c>
    </row>
    <row r="97">
      <c r="A97" s="2" t="inlineStr">
        <is>
          <t>B. Sistema de Ocupación</t>
        </is>
      </c>
      <c r="B97" s="2" t="inlineStr">
        <is>
          <t>DOT</t>
        </is>
      </c>
      <c r="C97" s="2" t="inlineStr">
        <is>
          <t>9.1.4 Articulación Habitacional y Centralidades</t>
        </is>
      </c>
      <c r="D97" s="2" t="inlineStr"/>
      <c r="E97" s="2" t="inlineStr"/>
      <c r="F97" s="2" t="inlineStr"/>
      <c r="G97" s="2" t="inlineStr">
        <is>
          <t>Sin articulación explícita entre movilidad y subsistema habitacional</t>
        </is>
      </c>
      <c r="H97" s="2" t="inlineStr">
        <is>
          <t>DOT se articula con subsistema habitacional (vivienda en alta accesibilidad) y centralidades (nodos existentes y proyectados). Estructura policéntrica</t>
        </is>
      </c>
      <c r="I97" s="2" t="inlineStr"/>
      <c r="J97" s="2" t="inlineStr">
        <is>
          <t>NUEVO</t>
        </is>
      </c>
      <c r="K97" s="6" t="inlineStr">
        <is>
          <t>Fondo</t>
        </is>
      </c>
      <c r="L97" s="2" t="inlineStr"/>
      <c r="M97" s="2" t="inlineStr">
        <is>
          <t>Crecimiento hacia adentro, reduce presión suelo periférico</t>
        </is>
      </c>
    </row>
    <row r="98">
      <c r="A98" s="2" t="inlineStr">
        <is>
          <t>B. Sistema de Ocupación</t>
        </is>
      </c>
      <c r="B98" s="2" t="inlineStr">
        <is>
          <t>DOT</t>
        </is>
      </c>
      <c r="C98" s="2" t="inlineStr">
        <is>
          <t>9.1.5 Régimen de Usos</t>
        </is>
      </c>
      <c r="D98" s="2" t="inlineStr"/>
      <c r="E98" s="2" t="inlineStr"/>
      <c r="F98" s="2" t="inlineStr"/>
      <c r="G98" s="2" t="inlineStr">
        <is>
          <t>Régimen general sin diferenciación por proximidad a transporte</t>
        </is>
      </c>
      <c r="H98" s="2" t="inlineStr">
        <is>
          <t>Régimen especial DOT: incrementa intensidad usos comerciales/servicios, habilita actividades específicas, evita monofuncionalidad. Criterios: compatibilidad, complementariedad, impacto</t>
        </is>
      </c>
      <c r="I98" s="2" t="inlineStr"/>
      <c r="J98" s="2" t="inlineStr">
        <is>
          <t>NUEVO</t>
        </is>
      </c>
      <c r="K98" s="6" t="inlineStr">
        <is>
          <t>Fondo</t>
        </is>
      </c>
      <c r="L98" s="2" t="inlineStr"/>
      <c r="M98" s="2" t="inlineStr">
        <is>
          <t>Áreas DOT como nodos estratégicos de desarrollo</t>
        </is>
      </c>
    </row>
    <row r="99">
      <c r="A99" s="2" t="inlineStr">
        <is>
          <t>B. Sistema de Ocupación</t>
        </is>
      </c>
      <c r="B99" s="2" t="inlineStr">
        <is>
          <t>DOT</t>
        </is>
      </c>
      <c r="C99" s="2" t="inlineStr">
        <is>
          <t>9.1.6 Gestión y Sostenibilidad</t>
        </is>
      </c>
      <c r="D99" s="2" t="inlineStr"/>
      <c r="E99" s="2" t="inlineStr"/>
      <c r="F99" s="2" t="inlineStr"/>
      <c r="G99" s="2" t="inlineStr">
        <is>
          <t>No existía estrategia específica</t>
        </is>
      </c>
      <c r="H99" s="2" t="inlineStr">
        <is>
          <t>Implementación independiente o mediante instrumentos complementarios (planes parciales renovación, operaciones urbanas especiales). Criterios: sostenibilidad ambiental, eficiencia suelo, viabilidad financiera</t>
        </is>
      </c>
      <c r="I99" s="2" t="inlineStr"/>
      <c r="J99" s="2" t="inlineStr">
        <is>
          <t>NUEVO</t>
        </is>
      </c>
      <c r="K99" s="6" t="inlineStr">
        <is>
          <t>Fondo</t>
        </is>
      </c>
      <c r="L99" s="2" t="inlineStr"/>
      <c r="M99" s="2" t="inlineStr">
        <is>
          <t>DOT como estrategia estructurante del modelo de ocupación</t>
        </is>
      </c>
    </row>
    <row r="100">
      <c r="A100" s="2" t="inlineStr">
        <is>
          <t>B. Sistema de Ocupación</t>
        </is>
      </c>
      <c r="B100" s="2" t="inlineStr">
        <is>
          <t>Centralidades</t>
        </is>
      </c>
      <c r="C100" s="2" t="inlineStr">
        <is>
          <t>9.2.1 Definición del Subsistema</t>
        </is>
      </c>
      <c r="D100" s="2" t="inlineStr"/>
      <c r="E100" s="2" t="inlineStr"/>
      <c r="F100" s="2" t="inlineStr"/>
      <c r="G100" s="2" t="inlineStr">
        <is>
          <t>Art.211: Definición básica sin integración urbano-rural explícita</t>
        </is>
      </c>
      <c r="H100" s="2" t="inlineStr">
        <is>
          <t>Definición integral urbano-rural con 3 componentes: Centralidades Urbanas, Centralidades Rurales, Elementos de interconexión. Equilibrio relacional, territorial y funcional</t>
        </is>
      </c>
      <c r="I100" s="2" t="inlineStr"/>
      <c r="J100" s="2" t="inlineStr">
        <is>
          <t>SUSTANCIAL</t>
        </is>
      </c>
      <c r="K100" s="6" t="inlineStr">
        <is>
          <t>Fondo</t>
        </is>
      </c>
      <c r="L100" s="2" t="inlineStr"/>
      <c r="M100" s="2" t="inlineStr">
        <is>
          <t>Restructuración completa del subsistema</t>
        </is>
      </c>
    </row>
    <row r="101">
      <c r="A101" s="2" t="inlineStr">
        <is>
          <t>B. Sistema de Ocupación</t>
        </is>
      </c>
      <c r="B101" s="2" t="inlineStr">
        <is>
          <t>Centralidades</t>
        </is>
      </c>
      <c r="C101" s="2" t="inlineStr">
        <is>
          <t>9.2.2 Clasificación</t>
        </is>
      </c>
      <c r="D101" s="2" t="inlineStr"/>
      <c r="E101" s="2" t="inlineStr"/>
      <c r="F101" s="2" t="inlineStr"/>
      <c r="G101" s="2" t="inlineStr">
        <is>
          <t>Art.212: Clasificación por jerarquía (3 niveles)</t>
        </is>
      </c>
      <c r="H101" s="2" t="inlineStr">
        <is>
          <t>Triple clasificación: (1) Jerarquía: 7 tipos (Metropolitana, Zonal, Barrial, Corregimental, Corregimental Intermedia, Veredal), (2) Carácter y Predominancia, (3) Estado de Consolidación (5 niveles)</t>
        </is>
      </c>
      <c r="I101" s="2" t="inlineStr"/>
      <c r="J101" s="2" t="inlineStr">
        <is>
          <t>SUSTANCIAL</t>
        </is>
      </c>
      <c r="K101" s="6" t="inlineStr">
        <is>
          <t>Fondo</t>
        </is>
      </c>
      <c r="L101" s="2" t="inlineStr"/>
      <c r="M101" s="2" t="inlineStr">
        <is>
          <t>De 3 criterios simples a sistema tridimensional</t>
        </is>
      </c>
    </row>
    <row r="102">
      <c r="A102" s="2" t="inlineStr">
        <is>
          <t>B. Sistema de Ocupación</t>
        </is>
      </c>
      <c r="B102" s="2" t="inlineStr">
        <is>
          <t>Centralidades</t>
        </is>
      </c>
      <c r="C102" s="2" t="inlineStr">
        <is>
          <t>9.2.3 Delimitación</t>
        </is>
      </c>
      <c r="D102" s="2" t="inlineStr"/>
      <c r="E102" s="2" t="inlineStr"/>
      <c r="F102" s="2" t="inlineStr"/>
      <c r="G102" s="2" t="inlineStr">
        <is>
          <t>Delimitación existente sin metodología explícita de revisión</t>
        </is>
      </c>
      <c r="H102" s="2" t="inlineStr">
        <is>
          <t>Nueva metodología de delimitación con identificación de nuevas centralidades. Fichas técnicas en SEPOT para cada centralidad. Ajuste cartográfico</t>
        </is>
      </c>
      <c r="I102" s="2" t="inlineStr"/>
      <c r="J102" s="2" t="inlineStr">
        <is>
          <t>SUSTANCIAL</t>
        </is>
      </c>
      <c r="K102" s="6" t="inlineStr">
        <is>
          <t>Fondo</t>
        </is>
      </c>
      <c r="L102" s="2" t="inlineStr"/>
      <c r="M102" s="2" t="inlineStr">
        <is>
          <t>Mapas protocolizados modificados</t>
        </is>
      </c>
    </row>
    <row r="103">
      <c r="A103" s="2" t="inlineStr">
        <is>
          <t>B. Sistema de Ocupación</t>
        </is>
      </c>
      <c r="B103" s="2" t="inlineStr">
        <is>
          <t>Centralidades</t>
        </is>
      </c>
      <c r="C103" s="2" t="inlineStr">
        <is>
          <t>9.2.4 Predominancias Centralidad Metropolitana</t>
        </is>
      </c>
      <c r="D103" s="2" t="inlineStr"/>
      <c r="E103" s="2" t="inlineStr"/>
      <c r="F103" s="2" t="inlineStr"/>
      <c r="G103" s="2" t="inlineStr">
        <is>
          <t>No existía concepto de predominancias funcionales</t>
        </is>
      </c>
      <c r="H103" s="2" t="inlineStr">
        <is>
          <t>5 predominancias: desarrollo económico/empleo (Centro Tradicional), DOT (corredores SITVA), economías conocimiento (FutuMed/ZTE/Ruta N), innovación cultural/creativa, servicios proximidad/cuidado</t>
        </is>
      </c>
      <c r="I103" s="2" t="inlineStr"/>
      <c r="J103" s="2" t="inlineStr">
        <is>
          <t>NUEVO</t>
        </is>
      </c>
      <c r="K103" s="6" t="inlineStr">
        <is>
          <t>Fondo</t>
        </is>
      </c>
      <c r="L103" s="2" t="inlineStr"/>
      <c r="M103" s="2" t="inlineStr">
        <is>
          <t>Enteramente nuevo. Incluye ZTE primera en Colombia</t>
        </is>
      </c>
    </row>
    <row r="104">
      <c r="A104" s="2" t="inlineStr">
        <is>
          <t>B. Sistema de Ocupación</t>
        </is>
      </c>
      <c r="B104" s="2" t="inlineStr">
        <is>
          <t>Centralidades</t>
        </is>
      </c>
      <c r="C104" s="2" t="inlineStr">
        <is>
          <t>9.2.5 DOT en Centralidades</t>
        </is>
      </c>
      <c r="D104" s="2" t="inlineStr"/>
      <c r="E104" s="2" t="inlineStr"/>
      <c r="F104" s="2" t="inlineStr"/>
      <c r="G104" s="2" t="inlineStr">
        <is>
          <t>No existía articulación DOT-centralidades</t>
        </is>
      </c>
      <c r="H104" s="2" t="inlineStr">
        <is>
          <t>Centralidades con carácter DOT por proximidad a estaciones SITVA. Evaluación atributos de centralidad. Articulación con Sistemas Físico-Espaciales</t>
        </is>
      </c>
      <c r="I104" s="2" t="inlineStr"/>
      <c r="J104" s="2" t="inlineStr">
        <is>
          <t>NUEVO</t>
        </is>
      </c>
      <c r="K104" s="6" t="inlineStr">
        <is>
          <t>Fondo</t>
        </is>
      </c>
      <c r="L104" s="2" t="inlineStr"/>
      <c r="M104" s="2" t="inlineStr">
        <is>
          <t>Integración con nueva sección 9.1 DOT</t>
        </is>
      </c>
    </row>
    <row r="105">
      <c r="A105" s="2" t="inlineStr">
        <is>
          <t>B. Sistema de Ocupación</t>
        </is>
      </c>
      <c r="B105" s="2" t="inlineStr">
        <is>
          <t>Centralidades</t>
        </is>
      </c>
      <c r="C105" s="2" t="inlineStr">
        <is>
          <t>9.2.6 Criterios de Manejo</t>
        </is>
      </c>
      <c r="D105" s="2" t="inlineStr"/>
      <c r="E105" s="2" t="inlineStr"/>
      <c r="F105" s="2" t="inlineStr"/>
      <c r="G105" s="2" t="inlineStr">
        <is>
          <t>Art.213: Criterios genéricos sin diferenciación</t>
        </is>
      </c>
      <c r="H105" s="2" t="inlineStr">
        <is>
          <t>Criterios generales + específicos por jerarquía/predominancia + por determinantes. Incluye vivienda turística, colectiva (coliving, multifamily), protección vivienda campesina</t>
        </is>
      </c>
      <c r="I105" s="2" t="inlineStr"/>
      <c r="J105" s="2" t="inlineStr">
        <is>
          <t>SUSTANCIAL</t>
        </is>
      </c>
      <c r="K105" s="6" t="inlineStr">
        <is>
          <t>Fondo</t>
        </is>
      </c>
      <c r="L105" s="2" t="inlineStr"/>
      <c r="M105" s="2" t="inlineStr">
        <is>
          <t>Vivienda colectiva y turística como nuevas modalidades</t>
        </is>
      </c>
    </row>
    <row r="106">
      <c r="A106" s="2" t="inlineStr">
        <is>
          <t>B. Sistema de Ocupación</t>
        </is>
      </c>
      <c r="B106" s="2" t="inlineStr">
        <is>
          <t>Centralidades</t>
        </is>
      </c>
      <c r="C106" s="2" t="inlineStr">
        <is>
          <t>9.2.7 Programas y Proyectos</t>
        </is>
      </c>
      <c r="D106" s="2" t="inlineStr"/>
      <c r="E106" s="2" t="inlineStr"/>
      <c r="F106" s="2" t="inlineStr"/>
      <c r="G106" s="2" t="inlineStr">
        <is>
          <t>Sin programa específico de centralidades</t>
        </is>
      </c>
      <c r="H106" s="2" t="inlineStr">
        <is>
          <t>Programas y proyectos específicos para consolidación del subsistema</t>
        </is>
      </c>
      <c r="I106" s="2" t="inlineStr"/>
      <c r="J106" s="2" t="inlineStr">
        <is>
          <t>NUEVO</t>
        </is>
      </c>
      <c r="K106" s="6" t="inlineStr">
        <is>
          <t>Fondo</t>
        </is>
      </c>
      <c r="L106" s="2" t="inlineStr"/>
      <c r="M106" s="2" t="inlineStr">
        <is>
          <t>Operativiza la implementación</t>
        </is>
      </c>
    </row>
    <row r="107">
      <c r="A107" s="2" t="inlineStr">
        <is>
          <t>B. Sistema de Ocupación</t>
        </is>
      </c>
      <c r="B107" s="2" t="inlineStr">
        <is>
          <t>Centralidades</t>
        </is>
      </c>
      <c r="C107" s="2" t="inlineStr">
        <is>
          <t>Centralidades Rurales (Estado consolidación)</t>
        </is>
      </c>
      <c r="D107" s="2" t="inlineStr"/>
      <c r="E107" s="2" t="inlineStr"/>
      <c r="F107" s="2" t="inlineStr"/>
      <c r="G107" s="2" t="inlineStr">
        <is>
          <t>Sin diagnóstico de estado de consolidación</t>
        </is>
      </c>
      <c r="H107" s="2" t="inlineStr">
        <is>
          <t>36 centralidades rurales evaluadas: 11% muy alta, 8% alta, 17% media, 33% baja, 31% muy baja consolidación</t>
        </is>
      </c>
      <c r="I107" s="2" t="inlineStr"/>
      <c r="J107" s="2" t="inlineStr">
        <is>
          <t>NUEVO</t>
        </is>
      </c>
      <c r="K107" s="6" t="inlineStr">
        <is>
          <t>Fondo</t>
        </is>
      </c>
      <c r="L107" s="2" t="inlineStr"/>
      <c r="M107" s="2" t="inlineStr">
        <is>
          <t>Diagnóstico cuantitativo inédito</t>
        </is>
      </c>
    </row>
    <row r="108">
      <c r="A108" s="2" t="inlineStr">
        <is>
          <t>B. Sistema de Ocupación</t>
        </is>
      </c>
      <c r="B108" s="2" t="inlineStr">
        <is>
          <t>Habitacional</t>
        </is>
      </c>
      <c r="C108" s="2" t="inlineStr">
        <is>
          <t>Jerarquía del Subsistema Habitacional</t>
        </is>
      </c>
      <c r="D108" s="2" t="inlineStr">
        <is>
          <t>Jerarquía del Subsistema Habitacional</t>
        </is>
      </c>
      <c r="E108" s="2" t="inlineStr">
        <is>
          <t>214-222</t>
        </is>
      </c>
      <c r="F108" s="2" t="inlineStr"/>
      <c r="G108" s="2" t="inlineStr">
        <is>
          <t>Subsistema habitacional con débil nivel jerárquico; PEHMED como instrumento orientador sin vinculación normativa directa</t>
        </is>
      </c>
      <c r="H108" s="2" t="inlineStr">
        <is>
          <t>Elevación jerárquica del subsistema; PEHMED integrado al POT con horizonte 2030; 2 componentes (Desarrollo Institucional + Cobertura/Calidad), 5 líneas estratégicas</t>
        </is>
      </c>
      <c r="I108" s="2" t="inlineStr"/>
      <c r="J108" s="2" t="inlineStr">
        <is>
          <t>SUSTANCIAL</t>
        </is>
      </c>
      <c r="K108" s="6" t="inlineStr">
        <is>
          <t>Fondo</t>
        </is>
      </c>
      <c r="L108" s="2" t="inlineStr"/>
      <c r="M108" s="2" t="inlineStr"/>
    </row>
    <row r="109">
      <c r="A109" s="2" t="inlineStr">
        <is>
          <t>B. Sistema de Ocupación</t>
        </is>
      </c>
      <c r="B109" s="2" t="inlineStr">
        <is>
          <t>Habitacional</t>
        </is>
      </c>
      <c r="C109" s="2" t="inlineStr">
        <is>
          <t>Enfoque y definición habitacional</t>
        </is>
      </c>
      <c r="D109" s="2" t="inlineStr">
        <is>
          <t>Enfoque y definición habitacional</t>
        </is>
      </c>
      <c r="E109" s="2" t="inlineStr">
        <is>
          <t>214-215</t>
        </is>
      </c>
      <c r="F109" s="2" t="inlineStr"/>
      <c r="G109" s="2" t="inlineStr">
        <is>
          <t>Enfoque centrado en vivienda como unidad física; definición limitada a solución habitacional</t>
        </is>
      </c>
      <c r="H109" s="2" t="inlineStr">
        <is>
          <t>Derecho a vivienda digna y hábitat sostenible (Ley 2079/2021); enfoque demográfico integrado; 8 nociones orientadoras; principios de equidad, solidaridad, sostenibilidad</t>
        </is>
      </c>
      <c r="I109" s="2" t="inlineStr"/>
      <c r="J109" s="2" t="inlineStr">
        <is>
          <t>SUSTANCIAL</t>
        </is>
      </c>
      <c r="K109" s="6" t="inlineStr">
        <is>
          <t>Fondo</t>
        </is>
      </c>
      <c r="L109" s="2" t="inlineStr"/>
      <c r="M109" s="2" t="inlineStr"/>
    </row>
    <row r="110">
      <c r="A110" s="2" t="inlineStr">
        <is>
          <t>B. Sistema de Ocupación</t>
        </is>
      </c>
      <c r="B110" s="2" t="inlineStr">
        <is>
          <t>Habitacional</t>
        </is>
      </c>
      <c r="C110" s="2" t="inlineStr">
        <is>
          <t>Clasificación y variables estratégicas</t>
        </is>
      </c>
      <c r="D110" s="2" t="inlineStr">
        <is>
          <t>Clasificación y variables estratégicas</t>
        </is>
      </c>
      <c r="E110" s="2" t="inlineStr">
        <is>
          <t>216-217</t>
        </is>
      </c>
      <c r="F110" s="2" t="inlineStr"/>
      <c r="G110" s="2" t="inlineStr">
        <is>
          <t>Clasificación básica sin metodología de priorización explícita</t>
        </is>
      </c>
      <c r="H110" s="2" t="inlineStr">
        <is>
          <t>2 componentes (C1: Desarrollo Institucional y Modelo de Gestión; C2: Cobertura y Calidad), 8 variables estratégicas identificadas mediante análisis MIC-MAC, 5 líneas estratégicas</t>
        </is>
      </c>
      <c r="I110" s="2" t="inlineStr"/>
      <c r="J110" s="2" t="inlineStr">
        <is>
          <t>SUSTANCIAL</t>
        </is>
      </c>
      <c r="K110" s="6" t="inlineStr">
        <is>
          <t>Fondo</t>
        </is>
      </c>
      <c r="L110" s="2" t="inlineStr"/>
      <c r="M110" s="2" t="inlineStr"/>
    </row>
    <row r="111">
      <c r="A111" s="2" t="inlineStr">
        <is>
          <t>B. Sistema de Ocupación</t>
        </is>
      </c>
      <c r="B111" s="2" t="inlineStr">
        <is>
          <t>Habitacional</t>
        </is>
      </c>
      <c r="C111" s="2" t="inlineStr">
        <is>
          <t>Intervenciones estructurales</t>
        </is>
      </c>
      <c r="D111" s="2" t="inlineStr">
        <is>
          <t>Intervenciones estructurales</t>
        </is>
      </c>
      <c r="E111" s="2" t="inlineStr">
        <is>
          <t>218-220</t>
        </is>
      </c>
      <c r="F111" s="2" t="inlineStr"/>
      <c r="G111" s="2" t="inlineStr">
        <is>
          <t>Programas habitacionales sectoriales sin articulación integral</t>
        </is>
      </c>
      <c r="H111" s="2" t="inlineStr">
        <is>
          <t>5 intervenciones estructurales articuladas: (1) Generación de vivienda nueva, (2) Mejoramiento de vivienda, (3) Mejoramiento Integral de Barrios-MIB, (4) Legalización y titulación, (5) Fortalecimiento institucional</t>
        </is>
      </c>
      <c r="I111" s="2" t="inlineStr"/>
      <c r="J111" s="2" t="inlineStr">
        <is>
          <t>SUSTANCIAL</t>
        </is>
      </c>
      <c r="K111" s="6" t="inlineStr">
        <is>
          <t>Fondo</t>
        </is>
      </c>
      <c r="L111" s="2" t="inlineStr"/>
      <c r="M111" s="2" t="inlineStr"/>
    </row>
    <row r="112">
      <c r="A112" s="2" t="inlineStr">
        <is>
          <t>B. Sistema de Ocupación</t>
        </is>
      </c>
      <c r="B112" s="2" t="inlineStr">
        <is>
          <t>Habitacional</t>
        </is>
      </c>
      <c r="C112" s="2" t="inlineStr">
        <is>
          <t>Despliegue programático PEHMED</t>
        </is>
      </c>
      <c r="D112" s="2" t="inlineStr">
        <is>
          <t>Despliegue programático PEHMED</t>
        </is>
      </c>
      <c r="E112" s="2" t="inlineStr">
        <is>
          <t>220-222</t>
        </is>
      </c>
      <c r="F112" s="2" t="inlineStr"/>
      <c r="G112" s="2" t="inlineStr">
        <is>
          <t>Programas y proyectos listados sin marco estratégico integrado</t>
        </is>
      </c>
      <c r="H112" s="2" t="inlineStr">
        <is>
          <t>5 líneas estratégicas con programas y subprogramas: LE1 Desarrollo institucional, LE2 Gestión conocimiento, LE3 Gestión suelo y productividad, LE4 Asequibilidad, LE5 Cobertura y calidad. Incluye reasentamiento integral, renovación urbana, hábitat rural, inquilinatos</t>
        </is>
      </c>
      <c r="I112" s="2" t="inlineStr"/>
      <c r="J112" s="2" t="inlineStr">
        <is>
          <t>SUSTANCIAL</t>
        </is>
      </c>
      <c r="K112" s="6" t="inlineStr">
        <is>
          <t>Fondo</t>
        </is>
      </c>
      <c r="L112" s="2" t="inlineStr"/>
      <c r="M112" s="2" t="inlineStr"/>
    </row>
    <row r="113">
      <c r="A113" s="2" t="inlineStr">
        <is>
          <t>B. Sistema de Ocupación</t>
        </is>
      </c>
      <c r="B113" s="2" t="inlineStr">
        <is>
          <t>Habitacional</t>
        </is>
      </c>
      <c r="C113" s="2" t="inlineStr">
        <is>
          <t>Tipologías de vivienda urbana</t>
        </is>
      </c>
      <c r="D113" s="2" t="inlineStr">
        <is>
          <t>Tipologías de vivienda urbana</t>
        </is>
      </c>
      <c r="E113" s="2" t="inlineStr">
        <is>
          <t>226, 338</t>
        </is>
      </c>
      <c r="F113" s="2" t="inlineStr"/>
      <c r="G113" s="2" t="inlineStr">
        <is>
          <t>Tipologías mezclando criterios (número de soluciones y unidad habitación); incluye vivienda compartida como categoría ambigua</t>
        </is>
      </c>
      <c r="H113" s="2" t="inlineStr">
        <is>
          <t>Clasificación coherente: unifamiliar, bifamiliar/trifamiliar, multifamiliar, inquilinato, vivienda colectiva. Se elimina vivienda compartida. Dos criterios diferenciados: número soluciones habitacionales + tipo unidad (casa/apartamento)</t>
        </is>
      </c>
      <c r="I113" s="2" t="inlineStr"/>
      <c r="J113" s="2" t="inlineStr">
        <is>
          <t>SUSTANCIAL</t>
        </is>
      </c>
      <c r="K113" s="6" t="inlineStr">
        <is>
          <t>Fondo</t>
        </is>
      </c>
      <c r="L113" s="2" t="inlineStr"/>
      <c r="M113" s="2" t="inlineStr"/>
    </row>
    <row r="114">
      <c r="A114" s="2" t="inlineStr">
        <is>
          <t>B. Sistema de Ocupación</t>
        </is>
      </c>
      <c r="B114" s="2" t="inlineStr">
        <is>
          <t>Habitacional</t>
        </is>
      </c>
      <c r="C114" s="2" t="inlineStr">
        <is>
          <t>Vivienda colectiva</t>
        </is>
      </c>
      <c r="D114" s="2" t="inlineStr">
        <is>
          <t>Vivienda colectiva</t>
        </is>
      </c>
      <c r="E114" s="2" t="inlineStr">
        <is>
          <t>226, 338</t>
        </is>
      </c>
      <c r="F114" s="2" t="inlineStr"/>
      <c r="G114" s="2" t="inlineStr">
        <is>
          <t>No existía como tipología específica regulada</t>
        </is>
      </c>
      <c r="H114" s="2" t="inlineStr">
        <is>
          <t>Nueva tipología con regulación específica: solo suelo urbano, áreas alta/media mixtura o DOT, no computa obligaciones urbanísticas, puede ser VIS/VIP si ISVIMED la promueve, áreas mínimas definidas (unidad básica sencilla 20-24m², doble 24-28m²)</t>
        </is>
      </c>
      <c r="I114" s="2" t="inlineStr"/>
      <c r="J114" s="2" t="inlineStr">
        <is>
          <t>NUEVO</t>
        </is>
      </c>
      <c r="K114" s="6" t="inlineStr">
        <is>
          <t>Fondo</t>
        </is>
      </c>
      <c r="L114" s="2" t="inlineStr"/>
      <c r="M114" s="2" t="inlineStr"/>
    </row>
    <row r="115">
      <c r="A115" s="2" t="inlineStr">
        <is>
          <t>B. Sistema de Ocupación</t>
        </is>
      </c>
      <c r="B115" s="2" t="inlineStr">
        <is>
          <t>Habitacional</t>
        </is>
      </c>
      <c r="C115" s="2" t="inlineStr">
        <is>
          <t>Tipologías de vivienda rural</t>
        </is>
      </c>
      <c r="D115" s="2" t="inlineStr">
        <is>
          <t>Tipologías de vivienda rural</t>
        </is>
      </c>
      <c r="E115" s="2" t="inlineStr">
        <is>
          <t>248</t>
        </is>
      </c>
      <c r="F115" s="2" t="inlineStr"/>
      <c r="G115" s="2" t="inlineStr">
        <is>
          <t>Clasificación básica sin diferenciación detallada</t>
        </is>
      </c>
      <c r="H115" s="2" t="inlineStr">
        <is>
          <t>Clasificación detallada: Vivienda Campesina (rural propiamente + asociada a suburbanización), Vivienda Campestre (aislada, de recreo, parcelaciones). Tipología multifamiliar excluida del suelo rural. VISR y VIPR solo para vivienda campesina</t>
        </is>
      </c>
      <c r="I115" s="2" t="inlineStr"/>
      <c r="J115" s="2" t="inlineStr">
        <is>
          <t>SUSTANCIAL</t>
        </is>
      </c>
      <c r="K115" s="6" t="inlineStr">
        <is>
          <t>Fondo</t>
        </is>
      </c>
      <c r="L115" s="2" t="inlineStr"/>
      <c r="M115" s="2" t="inlineStr"/>
    </row>
    <row r="116">
      <c r="A116" s="2" t="inlineStr">
        <is>
          <t>B. Sistema de Ocupación</t>
        </is>
      </c>
      <c r="B116" s="2" t="inlineStr">
        <is>
          <t>Habitacional</t>
        </is>
      </c>
      <c r="C116" s="2" t="inlineStr">
        <is>
          <t>Áreas mínimas de vivienda</t>
        </is>
      </c>
      <c r="D116" s="2" t="inlineStr">
        <is>
          <t>Áreas mínimas de vivienda</t>
        </is>
      </c>
      <c r="E116" s="2" t="inlineStr">
        <is>
          <t>230, 338</t>
        </is>
      </c>
      <c r="F116" s="2" t="inlineStr"/>
      <c r="G116" s="2" t="inlineStr">
        <is>
          <t>Área mínima general de 45m² sin diferenciación por segmento</t>
        </is>
      </c>
      <c r="H116" s="2" t="inlineStr">
        <is>
          <t>Diferenciación VIP vs VIS/No VIS: 1 alcoba 30m², 2 alcobas 45m², 3 alcobas VIP 54m²/VIS 60m², 4 alcobas VIP 72m²/VIS 80m². Inquilinato: habitación sencilla 9-12m², doble 15-20m². Vivienda colectiva: básica sencilla 20-24m², doble 24-28m². Vivienda rural: campesina 50m², campestre 60m², recreo 80m²</t>
        </is>
      </c>
      <c r="I116" s="2" t="inlineStr"/>
      <c r="J116" s="2" t="inlineStr">
        <is>
          <t>SUSTANCIAL</t>
        </is>
      </c>
      <c r="K116" s="6" t="inlineStr">
        <is>
          <t>Fondo</t>
        </is>
      </c>
      <c r="L116" s="2" t="inlineStr"/>
      <c r="M116" s="2" t="inlineStr"/>
    </row>
    <row r="117">
      <c r="A117" s="2" t="inlineStr">
        <is>
          <t>B. Sistema de Ocupación</t>
        </is>
      </c>
      <c r="B117" s="2" t="inlineStr">
        <is>
          <t>Habitacional</t>
        </is>
      </c>
      <c r="C117" s="2" t="inlineStr">
        <is>
          <t>Desarrollo progresivo</t>
        </is>
      </c>
      <c r="D117" s="2" t="inlineStr">
        <is>
          <t>Desarrollo progresivo</t>
        </is>
      </c>
      <c r="E117" s="2" t="inlineStr">
        <is>
          <t>338</t>
        </is>
      </c>
      <c r="F117" s="2" t="inlineStr"/>
      <c r="G117" s="2" t="inlineStr">
        <is>
          <t>Mención genérica sin regulación detallada</t>
        </is>
      </c>
      <c r="H117" s="2" t="inlineStr">
        <is>
          <t>Regulación dual: (1) progresivo del proceso urbanístico (solo VIP con administración municipal), (2) progresivo de construcción (unidad básica: baño, cocina, zona ropas, espacio múltiple). Diferencia requisitos unifamiliar vs multifamiliar</t>
        </is>
      </c>
      <c r="I117" s="2" t="inlineStr"/>
      <c r="J117" s="2" t="inlineStr">
        <is>
          <t>SUSTANCIAL</t>
        </is>
      </c>
      <c r="K117" s="6" t="inlineStr">
        <is>
          <t>Fondo</t>
        </is>
      </c>
      <c r="L117" s="2" t="inlineStr"/>
      <c r="M117" s="2" t="inlineStr"/>
    </row>
    <row r="118">
      <c r="A118" s="2" t="inlineStr">
        <is>
          <t>B. Sistema de Ocupación</t>
        </is>
      </c>
      <c r="B118" s="2" t="inlineStr">
        <is>
          <t>Habitacional</t>
        </is>
      </c>
      <c r="C118" s="2" t="inlineStr">
        <is>
          <t>Determinantes y marco normativo</t>
        </is>
      </c>
      <c r="D118" s="2" t="inlineStr">
        <is>
          <t>Determinantes y marco normativo</t>
        </is>
      </c>
      <c r="E118" s="2" t="inlineStr">
        <is>
          <t>214-222</t>
        </is>
      </c>
      <c r="F118" s="2" t="inlineStr"/>
      <c r="G118" s="2" t="inlineStr">
        <is>
          <t>Marco normativo básico (Ley 388/1997)</t>
        </is>
      </c>
      <c r="H118" s="2" t="inlineStr">
        <is>
          <t>Amplio marco: Decreto 1077/2015, Ley 2044/2020, Ley 2079/2021, Ley 2294/2023, Acuerdos Metropolitanos 5/2014, 13/2012, 31/2019. Agenda Hábitat ONU 2030, ODS</t>
        </is>
      </c>
      <c r="I118" s="2" t="inlineStr"/>
      <c r="J118" s="2" t="inlineStr">
        <is>
          <t>SUSTANCIAL</t>
        </is>
      </c>
      <c r="K118" s="6" t="inlineStr">
        <is>
          <t>Fondo</t>
        </is>
      </c>
      <c r="L118" s="2" t="inlineStr"/>
      <c r="M118" s="2" t="inlineStr"/>
    </row>
    <row r="119">
      <c r="A119" s="2" t="inlineStr">
        <is>
          <t>B. Sistema de Ocupación</t>
        </is>
      </c>
      <c r="B119" s="2" t="inlineStr">
        <is>
          <t>Habitacional</t>
        </is>
      </c>
      <c r="C119" s="2" t="inlineStr">
        <is>
          <t>Actividades económicas asociadas a vivienda</t>
        </is>
      </c>
      <c r="D119" s="2" t="inlineStr">
        <is>
          <t>Actividades económicas asociadas a vivienda</t>
        </is>
      </c>
      <c r="E119" s="2" t="inlineStr">
        <is>
          <t>338</t>
        </is>
      </c>
      <c r="F119" s="2" t="inlineStr"/>
      <c r="G119" s="2" t="inlineStr">
        <is>
          <t>Regulación básica de vivienda mixta</t>
        </is>
      </c>
      <c r="H119" s="2" t="inlineStr">
        <is>
          <t>Vivienda mixta regulada (porcentaje por reglamentar). Unidades económicas obligatorias en VIP &gt;10 unidades (1m² por vivienda). Agregados comerciales máx 200m² en desarrollos &gt;200 viviendas</t>
        </is>
      </c>
      <c r="I119" s="2" t="inlineStr"/>
      <c r="J119" s="2" t="inlineStr">
        <is>
          <t>SUSTANCIAL</t>
        </is>
      </c>
      <c r="K119" s="6" t="inlineStr">
        <is>
          <t>Fondo</t>
        </is>
      </c>
      <c r="L119" s="2" t="inlineStr"/>
      <c r="M119" s="2" t="inlineStr"/>
    </row>
    <row r="120">
      <c r="A120" s="2" t="inlineStr">
        <is>
          <t>B. Sistema de Ocupación</t>
        </is>
      </c>
      <c r="B120" s="2" t="inlineStr">
        <is>
          <t>Habitacional</t>
        </is>
      </c>
      <c r="C120" s="2" t="inlineStr">
        <is>
          <t>Accesibilidad universal</t>
        </is>
      </c>
      <c r="D120" s="2" t="inlineStr">
        <is>
          <t>Accesibilidad universal</t>
        </is>
      </c>
      <c r="E120" s="2" t="inlineStr">
        <is>
          <t>338</t>
        </is>
      </c>
      <c r="F120" s="2" t="inlineStr"/>
      <c r="G120" s="2" t="inlineStr">
        <is>
          <t>Referencia general a normas de accesibilidad</t>
        </is>
      </c>
      <c r="H120" s="2" t="inlineStr">
        <is>
          <t>Disposiciones específicas para personas con movilidad reducida en todo proyecto público o privado. Alcobas mínimo 2,8m lineales y 7,8m² área</t>
        </is>
      </c>
      <c r="I120" s="2" t="inlineStr"/>
      <c r="J120" s="2" t="inlineStr">
        <is>
          <t>FORMAL</t>
        </is>
      </c>
      <c r="K120" s="3" t="inlineStr">
        <is>
          <t>Forma</t>
        </is>
      </c>
      <c r="L120" s="2" t="inlineStr"/>
      <c r="M120" s="2" t="inlineStr"/>
    </row>
    <row r="121">
      <c r="A121" s="2" t="inlineStr">
        <is>
          <t>B. Sistema de Ocupación</t>
        </is>
      </c>
      <c r="B121" s="2" t="inlineStr">
        <is>
          <t>Tratamientos Urbanos</t>
        </is>
      </c>
      <c r="C121" s="2" t="inlineStr">
        <is>
          <t>Zonas Morfológicas Homogéneas (ZMH)</t>
        </is>
      </c>
      <c r="D121" s="2" t="inlineStr">
        <is>
          <t>Zonas Morfológicas Homogéneas (ZMH)</t>
        </is>
      </c>
      <c r="E121" s="2" t="inlineStr">
        <is>
          <t>N/A (metodología)</t>
        </is>
      </c>
      <c r="F121" s="2" t="inlineStr"/>
      <c r="G121" s="2" t="inlineStr">
        <is>
          <t>ZMH definidas en 2014 sin actualización posterior; variables de medio natural, funcional y socioeconómico</t>
        </is>
      </c>
      <c r="H121" s="2" t="inlineStr">
        <is>
          <t>Actualización integral de ZMH basada en estudio ZMHU 2025; incorpora transformaciones de la última década (dinámica inmobiliaria, migraciones, pandemia, vocación CTI). 3 medios: Natural, Funcional (morfología espacio construido), Socioeconómico</t>
        </is>
      </c>
      <c r="I121" s="2" t="inlineStr"/>
      <c r="J121" s="2" t="inlineStr">
        <is>
          <t>SUSTANCIAL</t>
        </is>
      </c>
      <c r="K121" s="6" t="inlineStr">
        <is>
          <t>Fondo</t>
        </is>
      </c>
      <c r="L121" s="2" t="inlineStr"/>
      <c r="M121" s="2" t="inlineStr"/>
    </row>
    <row r="122">
      <c r="A122" s="2" t="inlineStr">
        <is>
          <t>B. Sistema de Ocupación</t>
        </is>
      </c>
      <c r="B122" s="2" t="inlineStr">
        <is>
          <t>Tratamientos Urbanos</t>
        </is>
      </c>
      <c r="C122" s="2" t="inlineStr">
        <is>
          <t>Definición de tratamientos urbanísticos</t>
        </is>
      </c>
      <c r="D122" s="2" t="inlineStr">
        <is>
          <t>Definición de tratamientos urbanísticos</t>
        </is>
      </c>
      <c r="E122" s="2" t="inlineStr">
        <is>
          <t>231</t>
        </is>
      </c>
      <c r="F122" s="2" t="inlineStr"/>
      <c r="G122" s="2" t="inlineStr">
        <is>
          <t>Determinaciones que orientan intervenciones diferenciadas según características de cada zona</t>
        </is>
      </c>
      <c r="H122" s="2" t="inlineStr">
        <is>
          <t>Se mantiene esencia. Precisiones terminológicas: "Municipio" → "Distrito", "zona homogénea" → "polígono". Se enfatizan lineamientos de gestión y financiación para concretar Modelo de Ocupación</t>
        </is>
      </c>
      <c r="I122" s="2" t="inlineStr"/>
      <c r="J122" s="2" t="inlineStr">
        <is>
          <t>FORMAL</t>
        </is>
      </c>
      <c r="K122" s="3" t="inlineStr">
        <is>
          <t>Forma</t>
        </is>
      </c>
      <c r="L122" s="2" t="inlineStr"/>
      <c r="M122" s="2" t="inlineStr"/>
    </row>
    <row r="123">
      <c r="A123" s="2" t="inlineStr">
        <is>
          <t>B. Sistema de Ocupación</t>
        </is>
      </c>
      <c r="B123" s="2" t="inlineStr">
        <is>
          <t>Tratamientos Urbanos</t>
        </is>
      </c>
      <c r="C123" s="2" t="inlineStr">
        <is>
          <t>Clasificación de tratamientos</t>
        </is>
      </c>
      <c r="D123" s="2" t="inlineStr">
        <is>
          <t>Clasificación de tratamientos</t>
        </is>
      </c>
      <c r="E123" s="2" t="inlineStr">
        <is>
          <t>232</t>
        </is>
      </c>
      <c r="F123" s="2" t="inlineStr"/>
      <c r="G123" s="2" t="inlineStr">
        <is>
          <t>6 categorías y 13 niveles de tratamientos urbanísticos</t>
        </is>
      </c>
      <c r="H123" s="2" t="inlineStr">
        <is>
          <t>6 categorías y 16 niveles. Se conservan categorías. Principal cambio: Renovación Urbana pasa de modalidad única (Redesarrollo) a 3 modalidades diferenciadas (Redesarrollo, Reactivación, Revitalización) conforme Decreto 1077/2015</t>
        </is>
      </c>
      <c r="I123" s="2" t="inlineStr"/>
      <c r="J123" s="2" t="inlineStr">
        <is>
          <t>SUSTANCIAL</t>
        </is>
      </c>
      <c r="K123" s="6" t="inlineStr">
        <is>
          <t>Fondo</t>
        </is>
      </c>
      <c r="L123" s="2" t="inlineStr"/>
      <c r="M123" s="2" t="inlineStr"/>
    </row>
    <row r="124">
      <c r="A124" s="2" t="inlineStr">
        <is>
          <t>B. Sistema de Ocupación</t>
        </is>
      </c>
      <c r="B124" s="2" t="inlineStr">
        <is>
          <t>Tratamientos Urbanos</t>
        </is>
      </c>
      <c r="C124" s="2" t="inlineStr">
        <is>
          <t>Codificación de polígonos</t>
        </is>
      </c>
      <c r="D124" s="2" t="inlineStr">
        <is>
          <t>Codificación de polígonos</t>
        </is>
      </c>
      <c r="E124" s="2" t="inlineStr">
        <is>
          <t>232</t>
        </is>
      </c>
      <c r="F124" s="2" t="inlineStr"/>
      <c r="G124" s="2" t="inlineStr">
        <is>
          <t>Codificación por Zona/Corregimiento + categoría + nivel + consecutivo</t>
        </is>
      </c>
      <c r="H124" s="2" t="inlineStr">
        <is>
          <t>Se mantiene estructura de codificación. Se actualizan códigos para nuevas modalidades de Renovación: RED (Redesarrollo), REA (Reactivación), REV (Revitalización). 9 zonas/corregimientos (Z1-Z6, SA, SC, AL)</t>
        </is>
      </c>
      <c r="I124" s="2" t="inlineStr"/>
      <c r="J124" s="2" t="inlineStr">
        <is>
          <t>SUSTANCIAL</t>
        </is>
      </c>
      <c r="K124" s="6" t="inlineStr">
        <is>
          <t>Fondo</t>
        </is>
      </c>
      <c r="L124" s="2" t="inlineStr"/>
      <c r="M124" s="2" t="inlineStr"/>
    </row>
    <row r="125">
      <c r="A125" s="2" t="inlineStr">
        <is>
          <t>B. Sistema de Ocupación</t>
        </is>
      </c>
      <c r="B125" s="2" t="inlineStr">
        <is>
          <t>Tratamientos Urbanos</t>
        </is>
      </c>
      <c r="C125" s="2" t="inlineStr">
        <is>
          <t>Actualización de polígonos</t>
        </is>
      </c>
      <c r="D125" s="2" t="inlineStr">
        <is>
          <t>Actualización de polígonos</t>
        </is>
      </c>
      <c r="E125" s="2" t="inlineStr">
        <is>
          <t>232</t>
        </is>
      </c>
      <c r="F125" s="2" t="inlineStr"/>
      <c r="G125" s="2" t="inlineStr">
        <is>
          <t>Polígonos definidos desde Acuerdo 046/2006 y Acuerdo 48/2014</t>
        </is>
      </c>
      <c r="H125" s="2" t="inlineStr">
        <is>
          <t>Redelimitación masiva basada en estudio ZMHU 2025, catastro actualizado y malla vial. Criterios: no fraccionar manzanas, coherencia con ZMH, ajuste a linderos prediales. Múltiples fusiones, escisiones y reasignaciones de polígonos</t>
        </is>
      </c>
      <c r="I125" s="2" t="inlineStr"/>
      <c r="J125" s="2" t="inlineStr">
        <is>
          <t>SUSTANCIAL</t>
        </is>
      </c>
      <c r="K125" s="6" t="inlineStr">
        <is>
          <t>Fondo</t>
        </is>
      </c>
      <c r="L125" s="2" t="inlineStr"/>
      <c r="M125" s="2" t="inlineStr"/>
    </row>
    <row r="126">
      <c r="A126" s="2" t="inlineStr">
        <is>
          <t>B. Sistema de Ocupación</t>
        </is>
      </c>
      <c r="B126" s="2" t="inlineStr">
        <is>
          <t>Tratamientos Urbanos</t>
        </is>
      </c>
      <c r="C126" s="2" t="inlineStr">
        <is>
          <t>Tratamiento de Conservación (C)</t>
        </is>
      </c>
      <c r="D126" s="2" t="inlineStr">
        <is>
          <t>Tratamiento de Conservación (C)</t>
        </is>
      </c>
      <c r="E126" s="2" t="inlineStr">
        <is>
          <t>233</t>
        </is>
      </c>
      <c r="F126" s="2" t="inlineStr"/>
      <c r="G126" s="2" t="inlineStr">
        <is>
          <t>3 niveles: C1 (Urbanística), C2 (Entornos Modernos), C3 (Zonas influencia BIC Nacional)</t>
        </is>
      </c>
      <c r="H126" s="2" t="inlineStr">
        <is>
          <t>Se mantienen 3 niveles con precisiones. C3 ajustado a zonas de influencia declaradas por Ministerio de Cultura, Las Artes y Los Saberes. Redelimitación de polígonos según determinantes patrimoniales actualizadas</t>
        </is>
      </c>
      <c r="I126" s="2" t="inlineStr"/>
      <c r="J126" s="2" t="inlineStr">
        <is>
          <t>FORMAL</t>
        </is>
      </c>
      <c r="K126" s="3" t="inlineStr">
        <is>
          <t>Forma</t>
        </is>
      </c>
      <c r="L126" s="2" t="inlineStr"/>
      <c r="M126" s="2" t="inlineStr"/>
    </row>
    <row r="127">
      <c r="A127" s="2" t="inlineStr">
        <is>
          <t>B. Sistema de Ocupación</t>
        </is>
      </c>
      <c r="B127" s="2" t="inlineStr">
        <is>
          <t>Tratamientos Urbanos</t>
        </is>
      </c>
      <c r="C127" s="2" t="inlineStr">
        <is>
          <t>Tratamiento de Consolidación (CN)</t>
        </is>
      </c>
      <c r="D127" s="2" t="inlineStr">
        <is>
          <t>Tratamiento de Consolidación (CN)</t>
        </is>
      </c>
      <c r="E127" s="2" t="inlineStr">
        <is>
          <t>234</t>
        </is>
      </c>
      <c r="F127" s="2" t="inlineStr"/>
      <c r="G127" s="2" t="inlineStr">
        <is>
          <t>5 niveles: CN1 (Ordenación), CN2 (Dotación), CN3 (Generación), CN4 (Cualificación), CN5 (Regulación)</t>
        </is>
      </c>
      <c r="H127" s="2" t="inlineStr">
        <is>
          <t>Se mantienen 5 niveles con definiciones más precisas. Redelimitación extensiva de polígonos. CN5 (Regulación) para áreas de desarrollo formal incompleto que requieren dotación de espacio público y equipamientos</t>
        </is>
      </c>
      <c r="I127" s="2" t="inlineStr"/>
      <c r="J127" s="2" t="inlineStr">
        <is>
          <t>SUSTANCIAL</t>
        </is>
      </c>
      <c r="K127" s="6" t="inlineStr">
        <is>
          <t>Fondo</t>
        </is>
      </c>
      <c r="L127" s="2" t="inlineStr"/>
      <c r="M127" s="2" t="inlineStr"/>
    </row>
    <row r="128">
      <c r="A128" s="2" t="inlineStr">
        <is>
          <t>B. Sistema de Ocupación</t>
        </is>
      </c>
      <c r="B128" s="2" t="inlineStr">
        <is>
          <t>Tratamientos Urbanos</t>
        </is>
      </c>
      <c r="C128" s="2" t="inlineStr">
        <is>
          <t>Tratamiento Mejoramiento Integral (MI)</t>
        </is>
      </c>
      <c r="D128" s="2" t="inlineStr">
        <is>
          <t>Tratamiento Mejoramiento Integral (MI)</t>
        </is>
      </c>
      <c r="E128" s="2" t="inlineStr">
        <is>
          <t>235</t>
        </is>
      </c>
      <c r="F128" s="2" t="inlineStr"/>
      <c r="G128" s="2" t="inlineStr">
        <is>
          <t>2 niveles: MI en suelo urbano, MIE en suelo de expansión</t>
        </is>
      </c>
      <c r="H128" s="2" t="inlineStr">
        <is>
          <t>Se mantienen 2 niveles. Articulación con Subsistema Habitacional (MIB). MI en suelo de expansión conservado sin modificación</t>
        </is>
      </c>
      <c r="I128" s="2" t="inlineStr"/>
      <c r="J128" s="2" t="inlineStr">
        <is>
          <t>FORMAL</t>
        </is>
      </c>
      <c r="K128" s="3" t="inlineStr">
        <is>
          <t>Forma</t>
        </is>
      </c>
      <c r="L128" s="2" t="inlineStr"/>
      <c r="M128" s="2" t="inlineStr"/>
    </row>
    <row r="129">
      <c r="A129" s="2" t="inlineStr">
        <is>
          <t>B. Sistema de Ocupación</t>
        </is>
      </c>
      <c r="B129" s="2" t="inlineStr">
        <is>
          <t>Tratamientos Urbanos</t>
        </is>
      </c>
      <c r="C129" s="2" t="inlineStr">
        <is>
          <t>Tratamiento Renovación Urbana (R)</t>
        </is>
      </c>
      <c r="D129" s="2" t="inlineStr">
        <is>
          <t>Tratamiento Renovación Urbana (R)</t>
        </is>
      </c>
      <c r="E129" s="2" t="inlineStr">
        <is>
          <t>236</t>
        </is>
      </c>
      <c r="F129" s="2" t="inlineStr"/>
      <c r="G129" s="2" t="inlineStr">
        <is>
          <t>Tratamiento único centrado en Redesarrollo físico; 48 polígonos asociados a zonas deterioradas o en conflicto funcional</t>
        </is>
      </c>
      <c r="H129" s="2" t="inlineStr">
        <is>
          <t>3 modalidades diferenciadas: Redesarrollo (20 polígonos, cambios estructurales), Reactivación (18 polígonos, activación funcional), Revitalización (11 polígonos, mejora sin demolición masiva). Total: 49 polígonos. Análisis multivariable (morfología, gestión PP, capacidad soporte, ZMHU, potencial edificatorio, simulaciones financieras)</t>
        </is>
      </c>
      <c r="I129" s="2" t="inlineStr"/>
      <c r="J129" s="2" t="inlineStr">
        <is>
          <t>SUSTANCIAL</t>
        </is>
      </c>
      <c r="K129" s="6" t="inlineStr">
        <is>
          <t>Fondo</t>
        </is>
      </c>
      <c r="L129" s="2" t="inlineStr"/>
      <c r="M129" s="2" t="inlineStr"/>
    </row>
    <row r="130">
      <c r="A130" s="2" t="inlineStr">
        <is>
          <t>B. Sistema de Ocupación</t>
        </is>
      </c>
      <c r="B130" s="2" t="inlineStr">
        <is>
          <t>Tratamientos Urbanos</t>
        </is>
      </c>
      <c r="C130" s="2" t="inlineStr">
        <is>
          <t>Tratamiento de Desarrollo (D)</t>
        </is>
      </c>
      <c r="D130" s="2" t="inlineStr">
        <is>
          <t>Tratamiento de Desarrollo (D)</t>
        </is>
      </c>
      <c r="E130" s="2" t="inlineStr">
        <is>
          <t>237</t>
        </is>
      </c>
      <c r="F130" s="2" t="inlineStr"/>
      <c r="G130" s="2" t="inlineStr">
        <is>
          <t>2 niveles: D en suelo urbano, DE en suelo de expansión</t>
        </is>
      </c>
      <c r="H130" s="2" t="inlineStr">
        <is>
          <t>Se mantienen 2 niveles. D en suelo urbano: integración de DOT. DE en suelo de expansión: 6 polígonos en AIE Borde Suroccidental y San Antonio de Prado. Planes parciales independientes o por Macroproyecto</t>
        </is>
      </c>
      <c r="I130" s="2" t="inlineStr"/>
      <c r="J130" s="2" t="inlineStr">
        <is>
          <t>SUSTANCIAL</t>
        </is>
      </c>
      <c r="K130" s="6" t="inlineStr">
        <is>
          <t>Fondo</t>
        </is>
      </c>
      <c r="L130" s="2" t="inlineStr"/>
      <c r="M130" s="2" t="inlineStr"/>
    </row>
    <row r="131">
      <c r="A131" s="2" t="inlineStr">
        <is>
          <t>B. Sistema de Ocupación</t>
        </is>
      </c>
      <c r="B131" s="2" t="inlineStr">
        <is>
          <t>Tratamientos Urbanos</t>
        </is>
      </c>
      <c r="C131" s="2" t="inlineStr">
        <is>
          <t>Áreas para Preservación de Infraestructuras (API)</t>
        </is>
      </c>
      <c r="D131" s="2" t="inlineStr">
        <is>
          <t>Áreas para Preservación de Infraestructuras (API)</t>
        </is>
      </c>
      <c r="E131" s="2" t="inlineStr">
        <is>
          <t>232</t>
        </is>
      </c>
      <c r="F131" s="2" t="inlineStr"/>
      <c r="G131" s="2" t="inlineStr">
        <is>
          <t>Tratamiento para áreas con condiciones especiales de desarrollo-soporte del Sistema Público y Colectivo</t>
        </is>
      </c>
      <c r="H131" s="2" t="inlineStr">
        <is>
          <t>Se conserva tratamiento API. Ajustes de delimitación en varios polígonos (exclusión de áreas de baja mixtura, ajuste a catastro). Asociados a Planes Maestros</t>
        </is>
      </c>
      <c r="I131" s="2" t="inlineStr"/>
      <c r="J131" s="2" t="inlineStr">
        <is>
          <t>FORMAL</t>
        </is>
      </c>
      <c r="K131" s="3" t="inlineStr">
        <is>
          <t>Forma</t>
        </is>
      </c>
      <c r="L131" s="2" t="inlineStr"/>
      <c r="M131" s="2" t="inlineStr"/>
    </row>
    <row r="132">
      <c r="A132" s="2" t="inlineStr">
        <is>
          <t>B. Sistema de Ocupación</t>
        </is>
      </c>
      <c r="B132" s="2" t="inlineStr">
        <is>
          <t>Modelo Multipropósito</t>
        </is>
      </c>
      <c r="C132" s="2" t="inlineStr">
        <is>
          <t>Modelo Multipropósito - Marco general</t>
        </is>
      </c>
      <c r="D132" s="2" t="inlineStr">
        <is>
          <t>Modelo Multipropósito - Marco general</t>
        </is>
      </c>
      <c r="E132" s="2" t="inlineStr">
        <is>
          <t>N/A (instrumento técnico)</t>
        </is>
      </c>
      <c r="F132" s="2" t="inlineStr"/>
      <c r="G132" s="2" t="inlineStr">
        <is>
          <t>Modelo diseñado en 2013 con dos funciones: capacidad de soporte y simulación financiera; aplicativo en paquete estadístico R</t>
        </is>
      </c>
      <c r="H132" s="2" t="inlineStr">
        <is>
          <t>Se potencia con incorporación de motor de simulación normativa; nuevos insumos (base lotes potenciales, tabla normas, diccionario variables, fórmulas indicadores). Flujo: carga datos → evaluación reglas → cálculo indicadores → visualización resultados</t>
        </is>
      </c>
      <c r="I132" s="2" t="inlineStr"/>
      <c r="J132" s="2" t="inlineStr">
        <is>
          <t>SUSTANCIAL</t>
        </is>
      </c>
      <c r="K132" s="6" t="inlineStr">
        <is>
          <t>Fondo</t>
        </is>
      </c>
      <c r="L132" s="2" t="inlineStr"/>
      <c r="M132" s="2" t="inlineStr"/>
    </row>
    <row r="133">
      <c r="A133" s="2" t="inlineStr">
        <is>
          <t>B. Sistema de Ocupación</t>
        </is>
      </c>
      <c r="B133" s="2" t="inlineStr">
        <is>
          <t>Modelo Multipropósito</t>
        </is>
      </c>
      <c r="C133" s="2" t="inlineStr">
        <is>
          <t>Modelo de Capacidad de Soporte</t>
        </is>
      </c>
      <c r="D133" s="2" t="inlineStr">
        <is>
          <t>Modelo de Capacidad de Soporte</t>
        </is>
      </c>
      <c r="E133" s="2" t="inlineStr">
        <is>
          <t>N/A</t>
        </is>
      </c>
      <c r="F133" s="2" t="inlineStr"/>
      <c r="G133" s="2" t="inlineStr">
        <is>
          <t>Índice de 4 dimensiones para evaluar capacidad territorial</t>
        </is>
      </c>
      <c r="H133" s="2" t="inlineStr">
        <is>
          <t>Índice actualizado con 5 dimensiones: Facilidades urbanísticas (25%), Amenidades (30%), Movilidad (18%), Accesibilidad (18%), Ambiente (9%). Metodología PCA. Escala 1-100 (70-100 buenas condiciones). Lectura a escala AIE y polígonos de tratamiento</t>
        </is>
      </c>
      <c r="I133" s="2" t="inlineStr"/>
      <c r="J133" s="2" t="inlineStr">
        <is>
          <t>SUSTANCIAL</t>
        </is>
      </c>
      <c r="K133" s="6" t="inlineStr">
        <is>
          <t>Fondo</t>
        </is>
      </c>
      <c r="L133" s="2" t="inlineStr"/>
      <c r="M133" s="2" t="inlineStr"/>
    </row>
    <row r="134">
      <c r="A134" s="2" t="inlineStr">
        <is>
          <t>B. Sistema de Ocupación</t>
        </is>
      </c>
      <c r="B134" s="2" t="inlineStr">
        <is>
          <t>Modelo Multipropósito</t>
        </is>
      </c>
      <c r="C134" s="2" t="inlineStr">
        <is>
          <t>Variables del modelo de soporte</t>
        </is>
      </c>
      <c r="D134" s="2" t="inlineStr">
        <is>
          <t>Variables del modelo de soporte</t>
        </is>
      </c>
      <c r="E134" s="2" t="inlineStr">
        <is>
          <t>N/A</t>
        </is>
      </c>
      <c r="F134" s="2" t="inlineStr"/>
      <c r="G134" s="2" t="inlineStr">
        <is>
          <t>Variables basadas en datos 2012-2014</t>
        </is>
      </c>
      <c r="H134" s="2" t="inlineStr">
        <is>
          <t>Actualización integral: densidades reales vs normativas, suelo potencial de desarrollo, proyecciones poblacionales, cobertura servicios públicos (EPM confirma capacidad energía/gas), configuración espacio público y equipamientos, topografía accesible</t>
        </is>
      </c>
      <c r="I134" s="2" t="inlineStr"/>
      <c r="J134" s="2" t="inlineStr">
        <is>
          <t>SUSTANCIAL</t>
        </is>
      </c>
      <c r="K134" s="6" t="inlineStr">
        <is>
          <t>Fondo</t>
        </is>
      </c>
      <c r="L134" s="2" t="inlineStr"/>
      <c r="M134" s="2" t="inlineStr"/>
    </row>
    <row r="135">
      <c r="A135" s="2" t="inlineStr">
        <is>
          <t>B. Sistema de Ocupación</t>
        </is>
      </c>
      <c r="B135" s="2" t="inlineStr">
        <is>
          <t>Modelo Multipropósito</t>
        </is>
      </c>
      <c r="C135" s="2" t="inlineStr">
        <is>
          <t>Resultados de Capacidad de Soporte</t>
        </is>
      </c>
      <c r="D135" s="2" t="inlineStr">
        <is>
          <t>Resultados de Capacidad de Soporte</t>
        </is>
      </c>
      <c r="E135" s="2" t="inlineStr">
        <is>
          <t>N/A</t>
        </is>
      </c>
      <c r="F135" s="2" t="inlineStr"/>
      <c r="G135" s="2" t="inlineStr">
        <is>
          <t>Sin actualización posterior a 2014</t>
        </is>
      </c>
      <c r="H135" s="2" t="inlineStr">
        <is>
          <t>Corredor del Río y zona centro-occidental: mejores niveles (55-85). Zona Norte: valores más bajos (0-40). Polígonos con ICS 40-100 son aptos para gestión del suelo y desarrollo habitacional. EPM confirma: 471.5 MW demanda adicional; mayoría subestaciones &lt;70% cargabilidad; gas viable excepto 3 polígonos corredor río norte</t>
        </is>
      </c>
      <c r="I135" s="2" t="inlineStr"/>
      <c r="J135" s="2" t="inlineStr">
        <is>
          <t>SUSTANCIAL</t>
        </is>
      </c>
      <c r="K135" s="6" t="inlineStr">
        <is>
          <t>Fondo</t>
        </is>
      </c>
      <c r="L135" s="2" t="inlineStr"/>
      <c r="M135" s="2" t="inlineStr"/>
    </row>
    <row r="136">
      <c r="A136" s="2" t="inlineStr">
        <is>
          <t>B. Sistema de Ocupación</t>
        </is>
      </c>
      <c r="B136" s="2" t="inlineStr">
        <is>
          <t>Modelo Multipropósito</t>
        </is>
      </c>
      <c r="C136" s="2" t="inlineStr">
        <is>
          <t>Modelo de Simulación Financiera</t>
        </is>
      </c>
      <c r="D136" s="2" t="inlineStr">
        <is>
          <t>Modelo de Simulación Financiera</t>
        </is>
      </c>
      <c r="E136" s="2" t="inlineStr">
        <is>
          <t>N/A</t>
        </is>
      </c>
      <c r="F136" s="2" t="inlineStr"/>
      <c r="G136" s="2" t="inlineStr">
        <is>
          <t>Módulo de simulación desactualizado frente a mercado inmobiliario actual</t>
        </is>
      </c>
      <c r="H136" s="2" t="inlineStr">
        <is>
          <t>Actualización con valores actuales de mercado y suelo. Hallazgo clave: carga adecuada de obligaciones urbanísticas máximo 6.60% ventas (lote a lote) y 7.20% (plan parcial). Incorpora obligación de vías obligadas</t>
        </is>
      </c>
      <c r="I136" s="2" t="inlineStr"/>
      <c r="J136" s="2" t="inlineStr">
        <is>
          <t>SUSTANCIAL</t>
        </is>
      </c>
      <c r="K136" s="6" t="inlineStr">
        <is>
          <t>Fondo</t>
        </is>
      </c>
      <c r="L136" s="2" t="inlineStr"/>
      <c r="M136" s="2" t="inlineStr"/>
    </row>
    <row r="137">
      <c r="A137" s="2" t="inlineStr">
        <is>
          <t>B. Sistema de Ocupación</t>
        </is>
      </c>
      <c r="B137" s="2" t="inlineStr">
        <is>
          <t>Modelo Multipropósito</t>
        </is>
      </c>
      <c r="C137" s="2" t="inlineStr">
        <is>
          <t>Escenarios por intensidad de usos</t>
        </is>
      </c>
      <c r="D137" s="2" t="inlineStr">
        <is>
          <t>Escenarios por intensidad de usos</t>
        </is>
      </c>
      <c r="E137" s="2" t="inlineStr">
        <is>
          <t>N/A</t>
        </is>
      </c>
      <c r="F137" s="2" t="inlineStr"/>
      <c r="G137" s="2" t="inlineStr">
        <is>
          <t>Sin diferenciación por tipo de mixtura</t>
        </is>
      </c>
      <c r="H137" s="2" t="inlineStr">
        <is>
          <t>3 escenarios: Áreas baja mixtura, Media mixtura, Alta mixtura. Simulaciones diferenciadas con parámetros específicos de impuesto de construcción (Acuerdo 093/2023), parqueaderos por estrato, y proporciones de uso</t>
        </is>
      </c>
      <c r="I137" s="2" t="inlineStr"/>
      <c r="J137" s="2" t="inlineStr">
        <is>
          <t>NUEVO</t>
        </is>
      </c>
      <c r="K137" s="6" t="inlineStr">
        <is>
          <t>Fondo</t>
        </is>
      </c>
      <c r="L137" s="2" t="inlineStr"/>
      <c r="M137" s="2" t="inlineStr"/>
    </row>
    <row r="138">
      <c r="A138" s="2" t="inlineStr">
        <is>
          <t>B. Sistema de Ocupación</t>
        </is>
      </c>
      <c r="B138" s="2" t="inlineStr">
        <is>
          <t>Modelo Multipropósito</t>
        </is>
      </c>
      <c r="C138" s="2" t="inlineStr">
        <is>
          <t>Insumos adicionales para aprovechamientos</t>
        </is>
      </c>
      <c r="D138" s="2" t="inlineStr">
        <is>
          <t>Insumos adicionales para aprovechamientos</t>
        </is>
      </c>
      <c r="E138" s="2" t="inlineStr">
        <is>
          <t>N/A</t>
        </is>
      </c>
      <c r="F138" s="2" t="inlineStr"/>
      <c r="G138" s="2" t="inlineStr">
        <is>
          <t>Cálculos básicos de aprovechamientos</t>
        </is>
      </c>
      <c r="H138" s="2" t="inlineStr">
        <is>
          <t>Incorpora impuesto de construcción (Acuerdo 093/2023: 0.10-1.50% según estrato/uso), norma de parqueaderos por estrato (privados y visitantes, autos y motos), vías obligadas. Parámetros diferenciados residencial vs no residencial</t>
        </is>
      </c>
      <c r="I138" s="2" t="inlineStr"/>
      <c r="J138" s="2" t="inlineStr">
        <is>
          <t>NUEVO</t>
        </is>
      </c>
      <c r="K138" s="6" t="inlineStr">
        <is>
          <t>Fondo</t>
        </is>
      </c>
      <c r="L138" s="2" t="inlineStr"/>
      <c r="M138" s="2" t="inlineStr"/>
    </row>
    <row r="139">
      <c r="A139" s="2" t="inlineStr">
        <is>
          <t>B. Sistema de Ocupación</t>
        </is>
      </c>
      <c r="B139" s="2" t="inlineStr">
        <is>
          <t>Modelo Multipropósito</t>
        </is>
      </c>
      <c r="C139" s="2" t="inlineStr">
        <is>
          <t>Análisis de atractividad inmobiliaria</t>
        </is>
      </c>
      <c r="D139" s="2" t="inlineStr">
        <is>
          <t>Análisis de atractividad inmobiliaria</t>
        </is>
      </c>
      <c r="E139" s="2" t="inlineStr">
        <is>
          <t>N/A</t>
        </is>
      </c>
      <c r="F139" s="2" t="inlineStr"/>
      <c r="G139" s="2" t="inlineStr">
        <is>
          <t>Análisis básico sin actualización</t>
        </is>
      </c>
      <c r="H139" s="2" t="inlineStr">
        <is>
          <t>Análisis actualizado de atractividad inmobiliaria integrado al modelo. Considera mixtura de usos propuesta. Lectura territorial a escala de AIE y polígonos</t>
        </is>
      </c>
      <c r="I139" s="2" t="inlineStr"/>
      <c r="J139" s="2" t="inlineStr">
        <is>
          <t>SUSTANCIAL</t>
        </is>
      </c>
      <c r="K139" s="6" t="inlineStr">
        <is>
          <t>Fondo</t>
        </is>
      </c>
      <c r="L139" s="2" t="inlineStr"/>
      <c r="M139" s="2" t="inlineStr"/>
    </row>
    <row r="140">
      <c r="A140" s="2" t="inlineStr">
        <is>
          <t>B. Sistema de Ocupación</t>
        </is>
      </c>
      <c r="B140" s="2" t="inlineStr">
        <is>
          <t>Aprovechamientos Urbanos</t>
        </is>
      </c>
      <c r="C140" s="2" t="inlineStr">
        <is>
          <t>Marco conceptual aprovechamientos</t>
        </is>
      </c>
      <c r="D140" s="2" t="inlineStr">
        <is>
          <t>Marco conceptual aprovechamientos</t>
        </is>
      </c>
      <c r="E140" s="2" t="inlineStr">
        <is>
          <t>270-272</t>
        </is>
      </c>
      <c r="F140" s="2" t="inlineStr"/>
      <c r="G140" s="2" t="inlineStr">
        <is>
          <t>Aprovechamiento definido según Decreto 1077/2015; diferenciación básico vs adicional</t>
        </is>
      </c>
      <c r="H140" s="2" t="inlineStr">
        <is>
          <t>Se precisan criterios. Aprovechamiento básico: densidad/IO/IC/altura por Tabla 62. Aprovechamiento adicional: superficie máxima por encima del básico, vinculado a instrumentos de financiación. Principios: proporcionalidad, equilibrio, sostenibilidad</t>
        </is>
      </c>
      <c r="I140" s="2" t="inlineStr"/>
      <c r="J140" s="2" t="inlineStr">
        <is>
          <t>SUSTANCIAL</t>
        </is>
      </c>
      <c r="K140" s="6" t="inlineStr">
        <is>
          <t>Fondo</t>
        </is>
      </c>
      <c r="L140" s="2" t="inlineStr"/>
      <c r="M140" s="2" t="inlineStr"/>
    </row>
    <row r="141">
      <c r="A141" s="2" t="inlineStr">
        <is>
          <t>B. Sistema de Ocupación</t>
        </is>
      </c>
      <c r="B141" s="2" t="inlineStr">
        <is>
          <t>Aprovechamientos Urbanos</t>
        </is>
      </c>
      <c r="C141" s="2" t="inlineStr">
        <is>
          <t>Variables para asignación</t>
        </is>
      </c>
      <c r="D141" s="2" t="inlineStr">
        <is>
          <t>Variables para asignación</t>
        </is>
      </c>
      <c r="E141" s="2" t="inlineStr">
        <is>
          <t>273</t>
        </is>
      </c>
      <c r="F141" s="2" t="inlineStr"/>
      <c r="G141" s="2" t="inlineStr">
        <is>
          <t>Variables básicas (densidad, tratamiento)</t>
        </is>
      </c>
      <c r="H141" s="2" t="inlineStr">
        <is>
          <t>8 variables integradas: franjas densidad metropolitanas, capacidad soporte, tratamientos urbanísticos, secciones viales y estructura predial, densidad real vs norma, áreas y frente de lote, usos del suelo, equilibrio cargas/beneficios. Modelo Multipropósito como soporte técnico</t>
        </is>
      </c>
      <c r="I141" s="2" t="inlineStr"/>
      <c r="J141" s="2" t="inlineStr">
        <is>
          <t>SUSTANCIAL</t>
        </is>
      </c>
      <c r="K141" s="6" t="inlineStr">
        <is>
          <t>Fondo</t>
        </is>
      </c>
      <c r="L141" s="2" t="inlineStr"/>
      <c r="M141" s="2" t="inlineStr"/>
    </row>
    <row r="142">
      <c r="A142" s="2" t="inlineStr">
        <is>
          <t>B. Sistema de Ocupación</t>
        </is>
      </c>
      <c r="B142" s="2" t="inlineStr">
        <is>
          <t>Aprovechamientos Urbanos</t>
        </is>
      </c>
      <c r="C142" s="2" t="inlineStr">
        <is>
          <t>Franjas de densidad metropolitanas</t>
        </is>
      </c>
      <c r="D142" s="2" t="inlineStr">
        <is>
          <t>Franjas de densidad metropolitanas</t>
        </is>
      </c>
      <c r="E142" s="2" t="inlineStr">
        <is>
          <t>273</t>
        </is>
      </c>
      <c r="F142" s="2" t="inlineStr"/>
      <c r="G142" s="2" t="inlineStr">
        <is>
          <t>Franjas de densidad según Acuerdo Metropolitano 15/2006 sin actualización local</t>
        </is>
      </c>
      <c r="H142" s="2" t="inlineStr">
        <is>
          <t>Densidades máximas sin venta de derechos definidas por polígono. Densidad calculada sobre área neta. Franjas actualizadas según capacidad de soporte y tratamiento. Directrices Metropolitanas como determinante</t>
        </is>
      </c>
      <c r="I142" s="2" t="inlineStr"/>
      <c r="J142" s="2" t="inlineStr">
        <is>
          <t>SUSTANCIAL</t>
        </is>
      </c>
      <c r="K142" s="6" t="inlineStr">
        <is>
          <t>Fondo</t>
        </is>
      </c>
      <c r="L142" s="2" t="inlineStr"/>
      <c r="M142" s="2" t="inlineStr"/>
    </row>
    <row r="143">
      <c r="A143" s="2" t="inlineStr">
        <is>
          <t>B. Sistema de Ocupación</t>
        </is>
      </c>
      <c r="B143" s="2" t="inlineStr">
        <is>
          <t>Aprovechamientos Urbanos</t>
        </is>
      </c>
      <c r="C143" s="2" t="inlineStr">
        <is>
          <t>Aprovechamientos por tratamiento de Consolidación</t>
        </is>
      </c>
      <c r="D143" s="2" t="inlineStr">
        <is>
          <t>Aprovechamientos por tratamiento de Consolidación</t>
        </is>
      </c>
      <c r="E143" s="2" t="inlineStr">
        <is>
          <t>275</t>
        </is>
      </c>
      <c r="F143" s="2" t="inlineStr"/>
      <c r="G143" s="2" t="inlineStr">
        <is>
          <t>Aprovechamientos por niveles CN1-CN5 según tabla</t>
        </is>
      </c>
      <c r="H143" s="2" t="inlineStr">
        <is>
          <t>Precisión por nivel. Tabla 62 Aprovechamientos y Cesiones Públicas actualizada. Flexibilización en CN5 (desarrollo formal incompleto). Articulación con DOT donde aplique</t>
        </is>
      </c>
      <c r="I143" s="2" t="inlineStr"/>
      <c r="J143" s="2" t="inlineStr">
        <is>
          <t>SUSTANCIAL</t>
        </is>
      </c>
      <c r="K143" s="6" t="inlineStr">
        <is>
          <t>Fondo</t>
        </is>
      </c>
      <c r="L143" s="2" t="inlineStr"/>
      <c r="M143" s="2" t="inlineStr"/>
    </row>
    <row r="144">
      <c r="A144" s="2" t="inlineStr">
        <is>
          <t>B. Sistema de Ocupación</t>
        </is>
      </c>
      <c r="B144" s="2" t="inlineStr">
        <is>
          <t>Aprovechamientos Urbanos</t>
        </is>
      </c>
      <c r="C144" s="2" t="inlineStr">
        <is>
          <t>Aprovechamientos por Renovación Urbana</t>
        </is>
      </c>
      <c r="D144" s="2" t="inlineStr">
        <is>
          <t>Aprovechamientos por Renovación Urbana</t>
        </is>
      </c>
      <c r="E144" s="2" t="inlineStr">
        <is>
          <t>276</t>
        </is>
      </c>
      <c r="F144" s="2" t="inlineStr"/>
      <c r="G144" s="2" t="inlineStr">
        <is>
          <t>Aprovechamientos para tratamiento único de Renovación</t>
        </is>
      </c>
      <c r="H144" s="2" t="inlineStr">
        <is>
          <t>Diferenciación por 3 modalidades: Redesarrollo (mayores aprovechamientos, gestión asociativa), Reactivación (aprovechamientos medios), Revitalización (aprovechamientos conservadores). Tabla específica por polígono y modalidad</t>
        </is>
      </c>
      <c r="I144" s="2" t="inlineStr"/>
      <c r="J144" s="2" t="inlineStr">
        <is>
          <t>SUSTANCIAL</t>
        </is>
      </c>
      <c r="K144" s="6" t="inlineStr">
        <is>
          <t>Fondo</t>
        </is>
      </c>
      <c r="L144" s="2" t="inlineStr"/>
      <c r="M144" s="2" t="inlineStr"/>
    </row>
    <row r="145">
      <c r="A145" s="2" t="inlineStr">
        <is>
          <t>B. Sistema de Ocupación</t>
        </is>
      </c>
      <c r="B145" s="2" t="inlineStr">
        <is>
          <t>Aprovechamientos Urbanos</t>
        </is>
      </c>
      <c r="C145" s="2" t="inlineStr">
        <is>
          <t>Incentivos VIS/VIP y derechos adicionales</t>
        </is>
      </c>
      <c r="D145" s="2" t="inlineStr">
        <is>
          <t>Incentivos VIS/VIP y derechos adicionales</t>
        </is>
      </c>
      <c r="E145" s="2" t="inlineStr">
        <is>
          <t>276, 324</t>
        </is>
      </c>
      <c r="F145" s="2" t="inlineStr"/>
      <c r="G145" s="2" t="inlineStr">
        <is>
          <t>Obligación genérica de VIS en polígonos de Renovación y Desarrollo</t>
        </is>
      </c>
      <c r="H145" s="2" t="inlineStr">
        <is>
          <t>Sistema de incentivos: densidad adicional para generación VIS/VIP. Polígonos receptores definidos. Compra derechos de construcción acreditada ante ISVIMED. VIP como carga urbanística; VIS genera márgenes de rentabilidad. Diferenciación por modalidad: Redesarrollo y Revitalización (plan parcial) exigen VIS; Desarrollo exige VIP y VIS</t>
        </is>
      </c>
      <c r="I145" s="2" t="inlineStr"/>
      <c r="J145" s="2" t="inlineStr">
        <is>
          <t>NUEVO</t>
        </is>
      </c>
      <c r="K145" s="6" t="inlineStr">
        <is>
          <t>Fondo</t>
        </is>
      </c>
      <c r="L145" s="2" t="inlineStr"/>
      <c r="M145" s="2" t="inlineStr"/>
    </row>
    <row r="146">
      <c r="A146" s="2" t="inlineStr">
        <is>
          <t>B. Sistema de Ocupación</t>
        </is>
      </c>
      <c r="B146" s="2" t="inlineStr">
        <is>
          <t>Aprovechamientos Urbanos</t>
        </is>
      </c>
      <c r="C146" s="2" t="inlineStr">
        <is>
          <t>Zonas receptoras de derechos de construcción</t>
        </is>
      </c>
      <c r="D146" s="2" t="inlineStr">
        <is>
          <t>Zonas receptoras de derechos de construcción</t>
        </is>
      </c>
      <c r="E146" s="2" t="inlineStr">
        <is>
          <t>288</t>
        </is>
      </c>
      <c r="F146" s="2" t="inlineStr"/>
      <c r="G146" s="2" t="inlineStr">
        <is>
          <t>Mecanismo de transferencia de derechos básico</t>
        </is>
      </c>
      <c r="H146" s="2" t="inlineStr">
        <is>
          <t>Polígonos receptores específicos por zona (Z1-Z6, SA, SC, AL). Tabla detallada con densidades básica, adicional, VIS/VIP, derechos transferidos y densidad máxima total por polígono. Compra de derechos fiduciarios como nuevo mecanismo</t>
        </is>
      </c>
      <c r="I146" s="2" t="inlineStr"/>
      <c r="J146" s="2" t="inlineStr">
        <is>
          <t>NUEVO</t>
        </is>
      </c>
      <c r="K146" s="6" t="inlineStr">
        <is>
          <t>Fondo</t>
        </is>
      </c>
      <c r="L146" s="2" t="inlineStr"/>
      <c r="M146" s="2" t="inlineStr"/>
    </row>
    <row r="147">
      <c r="A147" s="2" t="inlineStr">
        <is>
          <t>B. Sistema de Ocupación</t>
        </is>
      </c>
      <c r="B147" s="2" t="inlineStr">
        <is>
          <t>Aprovechamientos Urbanos</t>
        </is>
      </c>
      <c r="C147" s="2" t="inlineStr">
        <is>
          <t>Asignación de obligaciones urbanísticas</t>
        </is>
      </c>
      <c r="D147" s="2" t="inlineStr">
        <is>
          <t>Asignación de obligaciones urbanísticas</t>
        </is>
      </c>
      <c r="E147" s="2" t="inlineStr">
        <is>
          <t>303-304</t>
        </is>
      </c>
      <c r="F147" s="2" t="inlineStr"/>
      <c r="G147" s="2" t="inlineStr">
        <is>
          <t>Criterios generales de obligaciones con desequilibrio en cálculo entre tratamientos</t>
        </is>
      </c>
      <c r="H147" s="2" t="inlineStr">
        <is>
          <t>3 clases de obligaciones: (1) cesiones públicas (vías, espacio público, equipamientos), (2) áreas privadas uso común, (3) VIS/VIP. Métodos de cálculo actualizados para equilibrio entre tratamientos. Crecimiento hacia adentro requiere proceso similar a urbanización</t>
        </is>
      </c>
      <c r="I147" s="2" t="inlineStr"/>
      <c r="J147" s="2" t="inlineStr">
        <is>
          <t>SUSTANCIAL</t>
        </is>
      </c>
      <c r="K147" s="6" t="inlineStr">
        <is>
          <t>Fondo</t>
        </is>
      </c>
      <c r="L147" s="2" t="inlineStr"/>
      <c r="M147" s="2" t="inlineStr"/>
    </row>
    <row r="148">
      <c r="A148" s="2" t="inlineStr">
        <is>
          <t>B. Sistema de Ocupación</t>
        </is>
      </c>
      <c r="B148" s="2" t="inlineStr">
        <is>
          <t>Aprovechamientos Urbanos</t>
        </is>
      </c>
      <c r="C148" s="2" t="inlineStr">
        <is>
          <t>Proporcionalidad de usos (locales comerciales)</t>
        </is>
      </c>
      <c r="D148" s="2" t="inlineStr">
        <is>
          <t>Proporcionalidad de usos (locales comerciales)</t>
        </is>
      </c>
      <c r="E148" s="2" t="inlineStr">
        <is>
          <t>300-302</t>
        </is>
      </c>
      <c r="F148" s="2" t="inlineStr"/>
      <c r="G148" s="2" t="inlineStr">
        <is>
          <t>Regulación de locales por área de actividad</t>
        </is>
      </c>
      <c r="H148" s="2" t="inlineStr">
        <is>
          <t>Diferenciación por mixtura: Baja Mixtura (locales en Consolidación/Renovación/Desarrollo), Media Mixtura (corredores), Alta Mixtura (concentración comercial). Normas específicas por tipo de mixtura</t>
        </is>
      </c>
      <c r="I148" s="2" t="inlineStr"/>
      <c r="J148" s="2" t="inlineStr">
        <is>
          <t>SUSTANCIAL</t>
        </is>
      </c>
      <c r="K148" s="6" t="inlineStr">
        <is>
          <t>Fondo</t>
        </is>
      </c>
      <c r="L148" s="2" t="inlineStr"/>
      <c r="M148" s="2" t="inlineStr"/>
    </row>
    <row r="149">
      <c r="A149" s="2" t="inlineStr">
        <is>
          <t>B. Sistema de Ocupación</t>
        </is>
      </c>
      <c r="B149" s="2" t="inlineStr">
        <is>
          <t>Aprovechamientos Urbanos</t>
        </is>
      </c>
      <c r="C149" s="2" t="inlineStr">
        <is>
          <t>Estacionamientos</t>
        </is>
      </c>
      <c r="D149" s="2" t="inlineStr">
        <is>
          <t>Estacionamientos</t>
        </is>
      </c>
      <c r="E149" s="2" t="inlineStr">
        <is>
          <t>varios</t>
        </is>
      </c>
      <c r="F149" s="2" t="inlineStr"/>
      <c r="G149" s="2" t="inlineStr">
        <is>
          <t>Exigencias generales de parqueo</t>
        </is>
      </c>
      <c r="H149" s="2" t="inlineStr">
        <is>
          <t>Diferenciación por estrato (1-6), uso (residencial/otros), VIS/VIP. Celdas privados y visitantes, autos y motos. Personas con movilidad reducida. Desarrollos que requieren estudios de tránsito. Articulación con DOT (reducción potencial en áreas DOT)</t>
        </is>
      </c>
      <c r="I149" s="2" t="inlineStr"/>
      <c r="J149" s="2" t="inlineStr">
        <is>
          <t>SUSTANCIAL</t>
        </is>
      </c>
      <c r="K149" s="6" t="inlineStr">
        <is>
          <t>Fondo</t>
        </is>
      </c>
      <c r="L149" s="2" t="inlineStr"/>
      <c r="M149" s="2" t="inlineStr"/>
    </row>
    <row r="150">
      <c r="A150" s="2" t="inlineStr">
        <is>
          <t>B. Sistema de Ocupación</t>
        </is>
      </c>
      <c r="B150" s="2" t="inlineStr">
        <is>
          <t>Aprovechamientos Urbanos</t>
        </is>
      </c>
      <c r="C150" s="2" t="inlineStr">
        <is>
          <t>Actuaciones urbanísticas</t>
        </is>
      </c>
      <c r="D150" s="2" t="inlineStr">
        <is>
          <t>Actuaciones urbanísticas</t>
        </is>
      </c>
      <c r="E150" s="2" t="inlineStr">
        <is>
          <t>327-339</t>
        </is>
      </c>
      <c r="F150" s="2" t="inlineStr"/>
      <c r="G150" s="2" t="inlineStr">
        <is>
          <t>Definición y clasificación de actuaciones urbanísticas</t>
        </is>
      </c>
      <c r="H150" s="2" t="inlineStr">
        <is>
          <t>Precisión de licenciamientos, concepto de actuaciones, criterios (incluidos ambientales), procesos urbanización y subdivisión, construcción en suelo urbano y expansión. Desarrollo progresivo, actuaciones destinadas a vivienda (tipologías). Retiros, voladizos, cerramientos, habitabilidad</t>
        </is>
      </c>
      <c r="I150" s="2" t="inlineStr"/>
      <c r="J150" s="2" t="inlineStr">
        <is>
          <t>SUSTANCIAL</t>
        </is>
      </c>
      <c r="K150" s="6" t="inlineStr">
        <is>
          <t>Fondo</t>
        </is>
      </c>
      <c r="L150" s="2" t="inlineStr"/>
      <c r="M150" s="2" t="inlineStr"/>
    </row>
    <row r="151">
      <c r="A151" s="2" t="inlineStr">
        <is>
          <t>B. Sistema de Ocupación</t>
        </is>
      </c>
      <c r="B151" s="2" t="inlineStr">
        <is>
          <t>Aprovechamientos Urbanos</t>
        </is>
      </c>
      <c r="C151" s="2" t="inlineStr">
        <is>
          <t>Reconocimientos urbanos</t>
        </is>
      </c>
      <c r="D151" s="2" t="inlineStr">
        <is>
          <t>Reconocimientos urbanos</t>
        </is>
      </c>
      <c r="E151" s="2" t="inlineStr">
        <is>
          <t>varios</t>
        </is>
      </c>
      <c r="F151" s="2" t="inlineStr"/>
      <c r="G151" s="2" t="inlineStr">
        <is>
          <t>Marco básico de reconocimiento de edificaciones</t>
        </is>
      </c>
      <c r="H151" s="2" t="inlineStr">
        <is>
          <t>Regulación actualizada para reconocimientos en suelo urbano y expansión. Límites según Tabla 62 aprovechamientos máximos por polígono</t>
        </is>
      </c>
      <c r="I151" s="2" t="inlineStr"/>
      <c r="J151" s="2" t="inlineStr">
        <is>
          <t>FORMAL</t>
        </is>
      </c>
      <c r="K151" s="3" t="inlineStr">
        <is>
          <t>Forma</t>
        </is>
      </c>
      <c r="L151" s="2" t="inlineStr"/>
      <c r="M151" s="2" t="inlineStr"/>
    </row>
    <row r="152">
      <c r="A152" s="2" t="inlineStr">
        <is>
          <t>B. Sistema de Ocupación</t>
        </is>
      </c>
      <c r="B152" s="2" t="inlineStr">
        <is>
          <t>Usos Urbanos</t>
        </is>
      </c>
      <c r="C152" s="2" t="inlineStr">
        <is>
          <t>9.7</t>
        </is>
      </c>
      <c r="D152" s="2" t="inlineStr">
        <is>
          <t>Enfoque general usos urbanos (Art. 240)</t>
        </is>
      </c>
      <c r="E152" s="2" t="inlineStr"/>
      <c r="F152" s="2" t="inlineStr"/>
      <c r="G152" s="2" t="inlineStr">
        <is>
          <t>Enfoque desactualizado, no reconoce naturaleza de Distrito ni actividades CTI</t>
        </is>
      </c>
      <c r="H152" s="2" t="inlineStr">
        <is>
          <t>Actualiza enfoque: integra vocación Distrito, incentivación CTI (Ley 2286/2023), descripción operativa de la norma de usos</t>
        </is>
      </c>
      <c r="I152" s="2" t="inlineStr"/>
      <c r="J152" s="2" t="inlineStr">
        <is>
          <t>SUSTANCIAL</t>
        </is>
      </c>
      <c r="K152" s="6" t="inlineStr">
        <is>
          <t>Fondo</t>
        </is>
      </c>
      <c r="L152" s="2" t="inlineStr"/>
      <c r="M152" s="2" t="inlineStr">
        <is>
          <t>Tres retos: resiliencia territorial (regulación preventiva), dinamismo económico (DOT), ecosistema CTI (Zonas Transformación Espacial)</t>
        </is>
      </c>
    </row>
    <row r="153">
      <c r="A153" s="2" t="inlineStr">
        <is>
          <t>B. Sistema de Ocupación</t>
        </is>
      </c>
      <c r="B153" s="2" t="inlineStr">
        <is>
          <t>Usos Urbanos</t>
        </is>
      </c>
      <c r="C153" s="2" t="inlineStr">
        <is>
          <t>9.7.1</t>
        </is>
      </c>
      <c r="D153" s="2" t="inlineStr">
        <is>
          <t>Determinantes espaciales delimitación categorías</t>
        </is>
      </c>
      <c r="E153" s="2" t="inlineStr"/>
      <c r="F153" s="2" t="inlineStr"/>
      <c r="G153" s="2" t="inlineStr">
        <is>
          <t>Criterios de delimitación existentes sin articulación explícita con DOT ni patrimonio nacional</t>
        </is>
      </c>
      <c r="H153" s="2" t="inlineStr">
        <is>
          <t>Se amplían determinantes: 7 fases para delimitación (modelo ocupación, localización actual, sistema vial, transporte masivo, monofuncionalidad, accesibilidad peatonal, áreas transformación). Variables cuantitativas. Metodología SIG integrada</t>
        </is>
      </c>
      <c r="I153" s="2" t="inlineStr"/>
      <c r="J153" s="2" t="inlineStr">
        <is>
          <t>SUSTANCIAL</t>
        </is>
      </c>
      <c r="K153" s="6" t="inlineStr">
        <is>
          <t>Fondo</t>
        </is>
      </c>
      <c r="L153" s="2" t="inlineStr"/>
      <c r="M153" s="2" t="inlineStr">
        <is>
          <t>Art. nueva numeración. Incorpora reglas interpretación mapa usos del suelo</t>
        </is>
      </c>
    </row>
    <row r="154">
      <c r="A154" s="2" t="inlineStr">
        <is>
          <t>B. Sistema de Ocupación</t>
        </is>
      </c>
      <c r="B154" s="2" t="inlineStr">
        <is>
          <t>Usos Urbanos</t>
        </is>
      </c>
      <c r="C154" s="2" t="inlineStr">
        <is>
          <t>9.7.2</t>
        </is>
      </c>
      <c r="D154" s="2" t="inlineStr">
        <is>
          <t>Clasificación sistema - Categorías uso suelo (Arts. 241, 243-246)</t>
        </is>
      </c>
      <c r="E154" s="2" t="inlineStr"/>
      <c r="F154" s="2" t="inlineStr"/>
      <c r="G154" s="2" t="inlineStr">
        <is>
          <t>3 categorías principales: Baja, Media, Alta mixtura. Definiciones básicas por grado de mezcla residencial vs. actividades</t>
        </is>
      </c>
      <c r="H154" s="2" t="inlineStr">
        <is>
          <t>Se mantienen 3 categorías pero se reformulan: Baja mixtura (predominantemente residencial), Media mixtura, Alta mixtura. Se añade concepto "áreas con vocación" como capa superpuesta (vocación DOT, CTI, patrimonio nacional, cuidado). Proporciones por aprovechamientos constructivos</t>
        </is>
      </c>
      <c r="I154" s="2" t="inlineStr"/>
      <c r="J154" s="2" t="inlineStr">
        <is>
          <t>SUSTANCIAL</t>
        </is>
      </c>
      <c r="K154" s="6" t="inlineStr">
        <is>
          <t>Fondo</t>
        </is>
      </c>
      <c r="L154" s="2" t="inlineStr"/>
      <c r="M154" s="2" t="inlineStr">
        <is>
          <t>Innovación principal: "áreas con vocación" como capa normativa superpuesta que condiciona o promueve actividades específicas sin modificar área de actividad base</t>
        </is>
      </c>
    </row>
    <row r="155">
      <c r="A155" s="2" t="inlineStr">
        <is>
          <t>B. Sistema de Ocupación</t>
        </is>
      </c>
      <c r="B155" s="2" t="inlineStr">
        <is>
          <t>Usos Urbanos</t>
        </is>
      </c>
      <c r="C155" s="2" t="inlineStr">
        <is>
          <t>9.7.3</t>
        </is>
      </c>
      <c r="D155" s="2" t="inlineStr">
        <is>
          <t>Tipologías de uso (Arts. 247-254)</t>
        </is>
      </c>
      <c r="E155" s="2" t="inlineStr"/>
      <c r="F155" s="2" t="inlineStr"/>
      <c r="G155" s="2" t="inlineStr">
        <is>
          <t>6 categorías generales: Residencial, Comercial, Servicios, Industrial, Dotacional, Espacio Público. Listado taxativo de actividades principales, complementarias, prohibidas</t>
        </is>
      </c>
      <c r="H155" s="2" t="inlineStr">
        <is>
          <t>Se mantienen 6 tipologías pero se reformulan: Residencial (Individual/Colectiva reemplaza unifamiliar/bifamiliar/multifamiliar/compartida), Comercial (por área e impacto), Servicios (se amplía por terciarización), Industrial (se precisa), Equipamiento colectivo (renombrado), Espacio Público. Elimina listado taxativo → clasificación por impacto</t>
        </is>
      </c>
      <c r="I155" s="2" t="inlineStr"/>
      <c r="J155" s="2" t="inlineStr">
        <is>
          <t>SUSTANCIAL</t>
        </is>
      </c>
      <c r="K155" s="6" t="inlineStr">
        <is>
          <t>Fondo</t>
        </is>
      </c>
      <c r="L155" s="2" t="inlineStr"/>
      <c r="M155" s="2" t="inlineStr">
        <is>
          <t>Cambio paradigmático: de listado taxativo de actividades → clasificación por tipología funcional y nivel de impacto. Reconoce economía de servicios y actividades emergentes</t>
        </is>
      </c>
    </row>
    <row r="156">
      <c r="A156" s="2" t="inlineStr">
        <is>
          <t>B. Sistema de Ocupación</t>
        </is>
      </c>
      <c r="B156" s="2" t="inlineStr">
        <is>
          <t>Usos Urbanos</t>
        </is>
      </c>
      <c r="C156" s="2" t="inlineStr">
        <is>
          <t>9.7.4</t>
        </is>
      </c>
      <c r="D156" s="2" t="inlineStr">
        <is>
          <t>Régimen interrelación usos (Arts. 255-267)</t>
        </is>
      </c>
      <c r="E156" s="2" t="inlineStr"/>
      <c r="F156" s="2" t="inlineStr"/>
      <c r="G156" s="2" t="inlineStr">
        <is>
          <t>Tablas régimen de interrelaciones por actividad. Criterios de localización basados en compatibilidad estática. Actividades singulares definidas</t>
        </is>
      </c>
      <c r="H156" s="2" t="inlineStr">
        <is>
          <t>Nuevo régimen basado en: criterios urbanísticos y ambientales, Índice de Impacto Potencial (IIP) multivariable, evaluación por 4 dimensiones (demanda, escala, movilidad, ambiente). Tipologías según impacto potencial (Anexo Agrupación_actividades_IIP). Actividades singulares actualizadas (&gt;2500m², &gt;2000 aforo, &gt;200 camas, &gt;1000 alumnos). Tablas régimen reformuladas para 3 categorías mixtura + áreas vocación DOT</t>
        </is>
      </c>
      <c r="I156" s="2" t="inlineStr"/>
      <c r="J156" s="2" t="inlineStr">
        <is>
          <t>SUSTANCIAL</t>
        </is>
      </c>
      <c r="K156" s="6" t="inlineStr">
        <is>
          <t>Fondo</t>
        </is>
      </c>
      <c r="L156" s="2" t="inlineStr"/>
      <c r="M156" s="2" t="inlineStr">
        <is>
          <t>Innovación: IIP (Índice Impacto Potencial) como instrumento técnico multicriterio. Tablas extensas pp.807-830. Mitigación preventiva reemplaza control reactivo</t>
        </is>
      </c>
    </row>
    <row r="157">
      <c r="A157" s="2" t="inlineStr">
        <is>
          <t>B. Sistema de Ocupación</t>
        </is>
      </c>
      <c r="B157" s="2" t="inlineStr">
        <is>
          <t>Usos Urbanos</t>
        </is>
      </c>
      <c r="C157" s="2" t="inlineStr">
        <is>
          <t>9.7.5</t>
        </is>
      </c>
      <c r="D157" s="2" t="inlineStr">
        <is>
          <t>Protocolo Ambiental y Urbanístico - PAU (Arts. 257-259, 268-269)</t>
        </is>
      </c>
      <c r="E157" s="2" t="inlineStr"/>
      <c r="F157" s="2" t="inlineStr"/>
      <c r="G157" s="2" t="inlineStr">
        <is>
          <t>PAU como requisito de licenciamiento para actividades con impacto. Enfoque reactivo: control post-implantación</t>
        </is>
      </c>
      <c r="H157" s="2" t="inlineStr">
        <is>
          <t>PAU transformado en "mecanismo de gestión de los usos" integrado al sistema institucional. 3 niveles: Direccionamiento estratégico, Planificación y seguimiento, Gestión operativa. Antecedente: Decreto 1212/2021. Articulación con Ley 1801/2016 y Decreto 883/2015. Caja de herramientas para control. Incluye contenidos detallados PAU por actividad</t>
        </is>
      </c>
      <c r="I157" s="2" t="inlineStr"/>
      <c r="J157" s="2" t="inlineStr">
        <is>
          <t>SUSTANCIAL</t>
        </is>
      </c>
      <c r="K157" s="6" t="inlineStr">
        <is>
          <t>Fondo</t>
        </is>
      </c>
      <c r="L157" s="2" t="inlineStr"/>
      <c r="M157" s="2" t="inlineStr">
        <is>
          <t>De instrumento reactivo a mecanismo integral de gestión. 3 niveles articulados. Fortalecimiento institucional</t>
        </is>
      </c>
    </row>
    <row r="158">
      <c r="A158" s="2" t="inlineStr">
        <is>
          <t>B. Sistema de Ocupación</t>
        </is>
      </c>
      <c r="B158" s="2" t="inlineStr">
        <is>
          <t>Usos Urbanos</t>
        </is>
      </c>
      <c r="C158" s="2" t="inlineStr">
        <is>
          <t>9.7.6</t>
        </is>
      </c>
      <c r="D158" s="2" t="inlineStr">
        <is>
          <t>Indicadores seguimiento y evaluación</t>
        </is>
      </c>
      <c r="E158" s="2" t="inlineStr"/>
      <c r="F158" s="2" t="inlineStr"/>
      <c r="G158" s="2" t="inlineStr">
        <is>
          <t>Indicadores básicos: mixtura, animación urbana, especialización funcional</t>
        </is>
      </c>
      <c r="H158" s="2" t="inlineStr">
        <is>
          <t>Se conservan indicadores existentes + nuevo indicador: seguimiento consolidación ecosistema CTI (Ley 2286/2023). Ajuste numeración a 9.7.6</t>
        </is>
      </c>
      <c r="I158" s="2" t="inlineStr"/>
      <c r="J158" s="2" t="inlineStr">
        <is>
          <t>FORMAL/NUEVO</t>
        </is>
      </c>
      <c r="K158" s="3" t="inlineStr">
        <is>
          <t>Forma</t>
        </is>
      </c>
      <c r="L158" s="2" t="inlineStr"/>
      <c r="M158" s="2" t="inlineStr">
        <is>
          <t>Nuevo indicador CTI responde a determinante supradistrital (Ley 2286/2023)</t>
        </is>
      </c>
    </row>
    <row r="159">
      <c r="A159" s="2" t="inlineStr">
        <is>
          <t>B. Sistema de Ocupación</t>
        </is>
      </c>
      <c r="B159" s="2" t="inlineStr">
        <is>
          <t>Usos Urbanos</t>
        </is>
      </c>
      <c r="C159" s="2" t="inlineStr">
        <is>
          <t>9.7</t>
        </is>
      </c>
      <c r="D159" s="2" t="inlineStr">
        <is>
          <t>Áreas Acústicamente Saturadas (Art. 262)</t>
        </is>
      </c>
      <c r="E159" s="2" t="inlineStr"/>
      <c r="F159" s="2" t="inlineStr"/>
      <c r="G159" s="2" t="inlineStr">
        <is>
          <t>Concepto presente sin desarrollo operativo detallado</t>
        </is>
      </c>
      <c r="H159" s="2" t="inlineStr">
        <is>
          <t>Se precisan criterios: delimitación territorial, niveles máximos calidad aire (Art. 263), estándares generación ruido (Art. 261), medidas control actividades singulares (Art. 265), condiciones ambientales exigibles (Art. 267)</t>
        </is>
      </c>
      <c r="I159" s="2" t="inlineStr"/>
      <c r="J159" s="2" t="inlineStr">
        <is>
          <t>SUSTANCIAL</t>
        </is>
      </c>
      <c r="K159" s="6" t="inlineStr">
        <is>
          <t>Fondo</t>
        </is>
      </c>
      <c r="L159" s="2" t="inlineStr"/>
      <c r="M159" s="2" t="inlineStr">
        <is>
          <t>Fortalecimiento regulación ambiental urbana</t>
        </is>
      </c>
    </row>
    <row r="160">
      <c r="A160" s="2" t="inlineStr">
        <is>
          <t>B. Sistema de Ocupación</t>
        </is>
      </c>
      <c r="B160" s="2" t="inlineStr">
        <is>
          <t>Usos Urbanos</t>
        </is>
      </c>
      <c r="C160" s="2" t="inlineStr">
        <is>
          <t>9.7</t>
        </is>
      </c>
      <c r="D160" s="2" t="inlineStr">
        <is>
          <t>Normas supradistritales aplicables</t>
        </is>
      </c>
      <c r="E160" s="2" t="inlineStr"/>
      <c r="F160" s="2" t="inlineStr"/>
      <c r="G160" s="2" t="inlineStr">
        <is>
          <t>Decreto 1077/2015</t>
        </is>
      </c>
      <c r="H160" s="2" t="inlineStr">
        <is>
          <t>Se amplía marco: Decreto 1077/2015, Decreto 1232/2020, Ley 2286/2023 (CTI), Ley 1801/2016, Decreto 883/2015</t>
        </is>
      </c>
      <c r="I160" s="2" t="inlineStr"/>
      <c r="J160" s="2" t="inlineStr">
        <is>
          <t>FORMAL</t>
        </is>
      </c>
      <c r="K160" s="3" t="inlineStr">
        <is>
          <t>Forma</t>
        </is>
      </c>
      <c r="L160" s="2" t="inlineStr"/>
      <c r="M160" s="2" t="inlineStr">
        <is>
          <t>Mayor densidad normativa supradistrital</t>
        </is>
      </c>
    </row>
    <row r="161">
      <c r="A161" s="2" t="inlineStr">
        <is>
          <t>B. Sistema de Ocupación</t>
        </is>
      </c>
      <c r="B161" s="2" t="inlineStr">
        <is>
          <t>Usos Urbanos</t>
        </is>
      </c>
      <c r="C161" s="2" t="inlineStr"/>
      <c r="D161" s="2" t="inlineStr">
        <is>
          <t>SUSTANCIAL</t>
        </is>
      </c>
      <c r="E161" s="2" t="inlineStr"/>
      <c r="F161" s="2" t="inlineStr"/>
      <c r="G161" s="2" t="inlineStr">
        <is>
          <t>~50%</t>
        </is>
      </c>
      <c r="H161" s="2" t="inlineStr">
        <is>
          <t>Transformación de criterios y mecanismos</t>
        </is>
      </c>
      <c r="I161" s="2" t="inlineStr"/>
      <c r="J161" s="2" t="inlineStr">
        <is>
          <t>Sustancial</t>
        </is>
      </c>
      <c r="K161" s="6" t="inlineStr">
        <is>
          <t>Fondo</t>
        </is>
      </c>
      <c r="L161" s="2" t="inlineStr"/>
      <c r="M161" s="2" t="inlineStr"/>
    </row>
    <row r="162">
      <c r="A162" s="2" t="inlineStr">
        <is>
          <t>B. Sistema de Ocupación</t>
        </is>
      </c>
      <c r="B162" s="2" t="inlineStr">
        <is>
          <t>Usos Urbanos</t>
        </is>
      </c>
      <c r="C162" s="2" t="inlineStr"/>
      <c r="D162" s="2" t="inlineStr">
        <is>
          <t>NUEVO</t>
        </is>
      </c>
      <c r="E162" s="2" t="inlineStr"/>
      <c r="F162" s="2" t="inlineStr"/>
      <c r="G162" s="2" t="inlineStr">
        <is>
          <t>~25%</t>
        </is>
      </c>
      <c r="H162" s="2" t="inlineStr">
        <is>
          <t>Incorporación de conceptos innovadores (IIP, áreas vocación)</t>
        </is>
      </c>
      <c r="I162" s="2" t="inlineStr"/>
      <c r="J162" s="2" t="inlineStr">
        <is>
          <t>Nuevo</t>
        </is>
      </c>
      <c r="K162" s="6" t="inlineStr">
        <is>
          <t>Fondo</t>
        </is>
      </c>
      <c r="L162" s="2" t="inlineStr"/>
      <c r="M162" s="2" t="inlineStr"/>
    </row>
    <row r="163">
      <c r="A163" s="2" t="inlineStr">
        <is>
          <t>B. Sistema de Ocupación</t>
        </is>
      </c>
      <c r="B163" s="2" t="inlineStr">
        <is>
          <t>Usos Urbanos</t>
        </is>
      </c>
      <c r="C163" s="2" t="inlineStr"/>
      <c r="D163" s="2" t="inlineStr">
        <is>
          <t>FORMAL</t>
        </is>
      </c>
      <c r="E163" s="2" t="inlineStr"/>
      <c r="F163" s="2" t="inlineStr"/>
      <c r="G163" s="2" t="inlineStr">
        <is>
          <t>~25%</t>
        </is>
      </c>
      <c r="H163" s="2" t="inlineStr">
        <is>
          <t>Ajustes numeración y ampliación normativa supradistrital</t>
        </is>
      </c>
      <c r="I163" s="2" t="inlineStr"/>
      <c r="J163" s="2" t="inlineStr">
        <is>
          <t>Formal</t>
        </is>
      </c>
      <c r="K163" s="3" t="inlineStr">
        <is>
          <t>Forma</t>
        </is>
      </c>
      <c r="L163" s="2" t="inlineStr"/>
      <c r="M163" s="2" t="inlineStr"/>
    </row>
    <row r="164">
      <c r="A164" s="2" t="inlineStr">
        <is>
          <t>B. Sistema de Ocupación</t>
        </is>
      </c>
      <c r="B164" s="2" t="inlineStr">
        <is>
          <t>Tratamientos Rurales</t>
        </is>
      </c>
      <c r="C164" s="2" t="inlineStr">
        <is>
          <t>9.8</t>
        </is>
      </c>
      <c r="D164" s="2" t="inlineStr">
        <is>
          <t>Definición tratamientos rurales (Art. 387)</t>
        </is>
      </c>
      <c r="E164" s="2" t="inlineStr"/>
      <c r="F164" s="2" t="inlineStr"/>
      <c r="G164" s="2" t="inlineStr">
        <is>
          <t>Tratamientos rurales para el "municipio" de Medellín. Basados en zonas homogéneas con variables biofísicas y fisiográficas</t>
        </is>
      </c>
      <c r="H164" s="2" t="inlineStr">
        <is>
          <t>Actualiza a "Distrito Especial de CTI de Medellín". Mantiene zonas homogéneas como base pero incorpora determinantes ambientales y patrimoniales como capas superiores. Planificación complementaria: macroproyectos, planes especiales, UPR, Distrito Rural Campesino</t>
        </is>
      </c>
      <c r="I164" s="2" t="inlineStr"/>
      <c r="J164" s="2" t="inlineStr">
        <is>
          <t>SUSTANCIAL</t>
        </is>
      </c>
      <c r="K164" s="6" t="inlineStr">
        <is>
          <t>Fondo</t>
        </is>
      </c>
      <c r="L164" s="2" t="inlineStr"/>
      <c r="M164" s="2" t="inlineStr">
        <is>
          <t>Incorpora Distrito Rural Campesino como principal instrumento gestión rural. Mapas protocolizados modificados</t>
        </is>
      </c>
    </row>
    <row r="165">
      <c r="A165" s="2" t="inlineStr">
        <is>
          <t>B. Sistema de Ocupación</t>
        </is>
      </c>
      <c r="B165" s="2" t="inlineStr">
        <is>
          <t>Tratamientos Rurales</t>
        </is>
      </c>
      <c r="C165" s="2" t="inlineStr">
        <is>
          <t>9.8.1</t>
        </is>
      </c>
      <c r="D165" s="2" t="inlineStr">
        <is>
          <t>Tratamiento Conservación -CS- (Art. 388)</t>
        </is>
      </c>
      <c r="E165" s="2" t="inlineStr"/>
      <c r="F165" s="2" t="inlineStr"/>
      <c r="G165" s="2" t="inlineStr">
        <is>
          <t>Tratamiento para áreas con valores geográficos, paisajísticos, ambientales</t>
        </is>
      </c>
      <c r="H165" s="2" t="inlineStr">
        <is>
          <t>Se precisan estrategias: seguridad alimentaria, recuperación suelos degradados por sobrepastoreo, prohibición pastoreo en zonas con inestabilidad/erosión, enriquecimiento forestal con especies nativas según zona de vida</t>
        </is>
      </c>
      <c r="I165" s="2" t="inlineStr"/>
      <c r="J165" s="2" t="inlineStr">
        <is>
          <t>SUSTANCIAL</t>
        </is>
      </c>
      <c r="K165" s="6" t="inlineStr">
        <is>
          <t>Fondo</t>
        </is>
      </c>
      <c r="L165" s="2" t="inlineStr"/>
      <c r="M165" s="2" t="inlineStr">
        <is>
          <t>Determinante: Acuerdo 670/2023 Corantioquia (DMI-DVARC), Resolución 1510/2010 (Reserva Forestal Río Nare)</t>
        </is>
      </c>
    </row>
    <row r="166">
      <c r="A166" s="2" t="inlineStr">
        <is>
          <t>B. Sistema de Ocupación</t>
        </is>
      </c>
      <c r="B166" s="2" t="inlineStr">
        <is>
          <t>Tratamientos Rurales</t>
        </is>
      </c>
      <c r="C166" s="2" t="inlineStr">
        <is>
          <t>9.8.1 (sub)</t>
        </is>
      </c>
      <c r="D166" s="2" t="inlineStr">
        <is>
          <t>Conservación por alto riesgo no mitigable -CRNM- (Art. 389)</t>
        </is>
      </c>
      <c r="E166" s="2" t="inlineStr"/>
      <c r="F166" s="2" t="inlineStr"/>
      <c r="G166" s="2" t="inlineStr">
        <is>
          <t>Tratamiento especial para polígonos de alto riesgo</t>
        </is>
      </c>
      <c r="H166" s="2" t="inlineStr">
        <is>
          <t>Se integra con proceso de restauración ecológica. Manejo especial para recuperación</t>
        </is>
      </c>
      <c r="I166" s="2" t="inlineStr"/>
      <c r="J166" s="2" t="inlineStr">
        <is>
          <t>FORMAL</t>
        </is>
      </c>
      <c r="K166" s="3" t="inlineStr">
        <is>
          <t>Forma</t>
        </is>
      </c>
      <c r="L166" s="2" t="inlineStr"/>
      <c r="M166" s="2" t="inlineStr">
        <is>
          <t>Vinculado a 9.8.1.2 Procesos restauración ecológica en suelos de conservación</t>
        </is>
      </c>
    </row>
    <row r="167">
      <c r="A167" s="2" t="inlineStr">
        <is>
          <t>B. Sistema de Ocupación</t>
        </is>
      </c>
      <c r="B167" s="2" t="inlineStr">
        <is>
          <t>Tratamientos Rurales</t>
        </is>
      </c>
      <c r="C167" s="2" t="inlineStr">
        <is>
          <t>9.8.2</t>
        </is>
      </c>
      <c r="D167" s="2" t="inlineStr">
        <is>
          <t>Generación Actividades Rurales Sostenibles -GARS- (Art. 390)</t>
        </is>
      </c>
      <c r="E167" s="2" t="inlineStr"/>
      <c r="F167" s="2" t="inlineStr"/>
      <c r="G167" s="2" t="inlineStr">
        <is>
          <t>Polígonos con producción rural combinada con vegetación natural. Sistemas agroforestales genéricos</t>
        </is>
      </c>
      <c r="H167" s="2" t="inlineStr">
        <is>
          <t>Se precisa: producción sostenible con diversidad de especies, heterogeneidad estructura horizontal y vertical. Reconversión a sistemas multiestrato (agroforestales, silvopastoriles, agrosilvopastoriles). Tablas detalladas por corregimiento/polígono/área (Palmitas, San Cristóbal, Altavista, Santa Elena, San Antonio)</t>
        </is>
      </c>
      <c r="I167" s="2" t="inlineStr"/>
      <c r="J167" s="2" t="inlineStr">
        <is>
          <t>SUSTANCIAL</t>
        </is>
      </c>
      <c r="K167" s="6" t="inlineStr">
        <is>
          <t>Fondo</t>
        </is>
      </c>
      <c r="L167" s="2" t="inlineStr"/>
      <c r="M167" s="2" t="inlineStr">
        <is>
          <t>Mayor precisión operativa. Conectividad ecológica con DMI-DVARC y Reserva Nare</t>
        </is>
      </c>
    </row>
    <row r="168">
      <c r="A168" s="2" t="inlineStr">
        <is>
          <t>B. Sistema de Ocupación</t>
        </is>
      </c>
      <c r="B168" s="2" t="inlineStr">
        <is>
          <t>Tratamientos Rurales</t>
        </is>
      </c>
      <c r="C168" s="2" t="inlineStr">
        <is>
          <t>9.8.3</t>
        </is>
      </c>
      <c r="D168" s="2" t="inlineStr">
        <is>
          <t>Restauración Actividades Rurales -RAR- (Art. 391)</t>
        </is>
      </c>
      <c r="E168" s="2" t="inlineStr"/>
      <c r="F168" s="2" t="inlineStr"/>
      <c r="G168" s="2" t="inlineStr">
        <is>
          <t>Polígonos con actividades degradativas que requieren restauración</t>
        </is>
      </c>
      <c r="H168" s="2" t="inlineStr">
        <is>
          <t>Se mantiene concepto. Proceso progresivo para garantizar ingreso propietarios y acceso a incentivos nacionales y regionales</t>
        </is>
      </c>
      <c r="I168" s="2" t="inlineStr"/>
      <c r="J168" s="2" t="inlineStr">
        <is>
          <t>FORMAL</t>
        </is>
      </c>
      <c r="K168" s="3" t="inlineStr">
        <is>
          <t>Forma</t>
        </is>
      </c>
      <c r="L168" s="2" t="inlineStr"/>
      <c r="M168" s="2" t="inlineStr">
        <is>
          <t>Vinculado a incentivos PSA y mecanismos financieros del Tomo IVB</t>
        </is>
      </c>
    </row>
    <row r="169">
      <c r="A169" s="2" t="inlineStr">
        <is>
          <t>B. Sistema de Ocupación</t>
        </is>
      </c>
      <c r="B169" s="2" t="inlineStr">
        <is>
          <t>Tratamientos Rurales</t>
        </is>
      </c>
      <c r="C169" s="2" t="inlineStr">
        <is>
          <t>9.8.4</t>
        </is>
      </c>
      <c r="D169" s="2" t="inlineStr">
        <is>
          <t>Transición a Protección -TP- (Art. 392)</t>
        </is>
      </c>
      <c r="E169" s="2" t="inlineStr"/>
      <c r="F169" s="2" t="inlineStr"/>
      <c r="G169" s="2" t="inlineStr">
        <is>
          <t>Polígonos con frentes mineros activos</t>
        </is>
      </c>
      <c r="H169" s="2" t="inlineStr">
        <is>
          <t>Se mantiene: explotación responsable minería construcción → plan manejo y abandono → transición a protección → ecoparques de borde. Tablas por corregimiento (San Cristóbal: 1 polígono, Altavista: 8 polígonos)</t>
        </is>
      </c>
      <c r="I169" s="2" t="inlineStr"/>
      <c r="J169" s="2" t="inlineStr">
        <is>
          <t>FORMAL</t>
        </is>
      </c>
      <c r="K169" s="3" t="inlineStr">
        <is>
          <t>Forma</t>
        </is>
      </c>
      <c r="L169" s="2" t="inlineStr"/>
      <c r="M169" s="2" t="inlineStr">
        <is>
          <t>9 polígonos total (~250 ha). Vinculado a Cinturón Verde</t>
        </is>
      </c>
    </row>
    <row r="170">
      <c r="A170" s="2" t="inlineStr">
        <is>
          <t>B. Sistema de Ocupación</t>
        </is>
      </c>
      <c r="B170" s="2" t="inlineStr">
        <is>
          <t>Tratamientos Rurales</t>
        </is>
      </c>
      <c r="C170" s="2" t="inlineStr">
        <is>
          <t>9.8.5</t>
        </is>
      </c>
      <c r="D170" s="2" t="inlineStr">
        <is>
          <t>Consolidación Suburbana -CNS- (Art. 393)</t>
        </is>
      </c>
      <c r="E170" s="2" t="inlineStr"/>
      <c r="F170" s="2" t="inlineStr"/>
      <c r="G170" s="2" t="inlineStr">
        <is>
          <t>Tratamiento para suelo suburbano. Sin niveles diferenciados explícitos</t>
        </is>
      </c>
      <c r="H170" s="2" t="inlineStr">
        <is>
          <t>Se estructura en 4 NIVELES: CNS1 Ordenación y Mantenimiento (consolidados, parcelaciones campestres, áreas centrales corregimentales, infraestructura seguridad), CNS2 Cualificación y Dotación (urbanización espontánea, déficit infraestructura), CNS3 Generación (nuevos desarrollos), CNS4 Reconversión (cambio de vocación)</t>
        </is>
      </c>
      <c r="I170" s="2" t="inlineStr"/>
      <c r="J170" s="2" t="inlineStr">
        <is>
          <t>SUSTANCIAL</t>
        </is>
      </c>
      <c r="K170" s="6" t="inlineStr">
        <is>
          <t>Fondo</t>
        </is>
      </c>
      <c r="L170" s="2" t="inlineStr"/>
      <c r="M170" s="2" t="inlineStr">
        <is>
          <t>Innovación: clasificación en 4 niveles con criterios diferenciados. Tablas detalladas por polígono/corregimiento</t>
        </is>
      </c>
    </row>
    <row r="171">
      <c r="A171" s="2" t="inlineStr">
        <is>
          <t>B. Sistema de Ocupación</t>
        </is>
      </c>
      <c r="B171" s="2" t="inlineStr">
        <is>
          <t>Tratamientos Rurales</t>
        </is>
      </c>
      <c r="C171" s="2" t="inlineStr">
        <is>
          <t>9.8.6</t>
        </is>
      </c>
      <c r="D171" s="2" t="inlineStr">
        <is>
          <t>Mejoramiento Integral -MI- (Art. 394)</t>
        </is>
      </c>
      <c r="E171" s="2" t="inlineStr"/>
      <c r="F171" s="2" t="inlineStr"/>
      <c r="G171" s="2" t="inlineStr">
        <is>
          <t>Tratamiento para asentamientos informales rurales</t>
        </is>
      </c>
      <c r="H171" s="2" t="inlineStr">
        <is>
          <t>Se mantiene concepto. Orientado a corrección de déficit</t>
        </is>
      </c>
      <c r="I171" s="2" t="inlineStr"/>
      <c r="J171" s="2" t="inlineStr">
        <is>
          <t>FORMAL</t>
        </is>
      </c>
      <c r="K171" s="3" t="inlineStr">
        <is>
          <t>Forma</t>
        </is>
      </c>
      <c r="L171" s="2" t="inlineStr"/>
      <c r="M171" s="2" t="inlineStr">
        <is>
          <t>Consistente con MI urbano</t>
        </is>
      </c>
    </row>
    <row r="172">
      <c r="A172" s="2" t="inlineStr">
        <is>
          <t>B. Sistema de Ocupación</t>
        </is>
      </c>
      <c r="B172" s="2" t="inlineStr">
        <is>
          <t>Tratamientos Rurales</t>
        </is>
      </c>
      <c r="C172" s="2" t="inlineStr">
        <is>
          <t>9.8.7</t>
        </is>
      </c>
      <c r="D172" s="2" t="inlineStr">
        <is>
          <t>Áreas Preservación Infraestructuras -API- (Art. 395)</t>
        </is>
      </c>
      <c r="E172" s="2" t="inlineStr"/>
      <c r="F172" s="2" t="inlineStr"/>
      <c r="G172" s="2" t="inlineStr">
        <is>
          <t>Áreas del Sistema Público y Colectivo en suelo rural</t>
        </is>
      </c>
      <c r="H172" s="2" t="inlineStr">
        <is>
          <t>Se precisa: equipamientos, espacios públicos, áreas ambientales, infraestructura vial. Sin tratamiento específico asignado. Desarrollo restringido</t>
        </is>
      </c>
      <c r="I172" s="2" t="inlineStr"/>
      <c r="J172" s="2" t="inlineStr">
        <is>
          <t>FORMAL</t>
        </is>
      </c>
      <c r="K172" s="3" t="inlineStr">
        <is>
          <t>Forma</t>
        </is>
      </c>
      <c r="L172" s="2" t="inlineStr"/>
      <c r="M172" s="2" t="inlineStr">
        <is>
          <t>No es propiamente un tratamiento sino una categoría de restricción</t>
        </is>
      </c>
    </row>
    <row r="173">
      <c r="A173" s="2" t="inlineStr">
        <is>
          <t>B. Sistema de Ocupación</t>
        </is>
      </c>
      <c r="B173" s="2" t="inlineStr">
        <is>
          <t>Tratamientos Rurales</t>
        </is>
      </c>
      <c r="C173" s="2" t="inlineStr">
        <is>
          <t>RESUMEN:</t>
        </is>
      </c>
      <c r="D173" s="2" t="inlineStr">
        <is>
          <t>~45% SUSTANCIAL, ~45% FORMAL, ~10% NUEVO. Sección breve (23pp). Principal innovación: Consolidación Suburbana en 4 niveles. Fortalecimiento determinantes ambientales (DMI-DVARC, Reserva Nare). Distrit</t>
        </is>
      </c>
      <c r="E173" s="2" t="inlineStr"/>
      <c r="F173" s="2" t="inlineStr"/>
      <c r="G173" s="2" t="inlineStr"/>
      <c r="H173" s="2" t="inlineStr"/>
      <c r="I173" s="2" t="inlineStr"/>
      <c r="J173" s="2" t="inlineStr">
        <is>
          <t>Nuevo</t>
        </is>
      </c>
      <c r="K173" s="6" t="inlineStr">
        <is>
          <t>Fondo</t>
        </is>
      </c>
      <c r="L173" s="2" t="inlineStr"/>
      <c r="M173" s="2" t="inlineStr"/>
    </row>
    <row r="174">
      <c r="A174" s="2" t="inlineStr">
        <is>
          <t>B. Sistema de Ocupación</t>
        </is>
      </c>
      <c r="B174" s="2" t="inlineStr">
        <is>
          <t>Usos Rurales</t>
        </is>
      </c>
      <c r="C174" s="2" t="inlineStr">
        <is>
          <t>9.9</t>
        </is>
      </c>
      <c r="D174" s="2" t="inlineStr">
        <is>
          <t>Usos del Suelo Rural - Enfoque general (Arts. 396-397)</t>
        </is>
      </c>
      <c r="E174" s="2" t="inlineStr"/>
      <c r="F174" s="2" t="inlineStr"/>
      <c r="G174" s="2" t="inlineStr">
        <is>
          <t>Zonificación basada en características fisiográficas y sociales. Denominación imprecisa, desarticulada con determinantes ambientales</t>
        </is>
      </c>
      <c r="H174" s="2" t="inlineStr">
        <is>
          <t>Actualiza enfoque: Ruralidad Sostenible, servicios ecosistémicos, cultura y paisaje campesino, seguridad alimentaria. Integra vocación CTI del Distrito. Armonización con determinantes ambientales (POMCA, DMI-DVARC, Reserva Nare)</t>
        </is>
      </c>
      <c r="I174" s="2" t="inlineStr"/>
      <c r="J174" s="2" t="inlineStr">
        <is>
          <t>SUSTANCIAL</t>
        </is>
      </c>
      <c r="K174" s="6" t="inlineStr">
        <is>
          <t>Fondo</t>
        </is>
      </c>
      <c r="L174" s="2" t="inlineStr"/>
      <c r="M174" s="2" t="inlineStr">
        <is>
          <t>2 fichas DTS (SUB-TUSO-0019, SUB-TUSO-0022). Densa normativa ambiental: ~15 determinantes</t>
        </is>
      </c>
    </row>
    <row r="175">
      <c r="A175" s="2" t="inlineStr">
        <is>
          <t>B. Sistema de Ocupación</t>
        </is>
      </c>
      <c r="B175" s="2" t="inlineStr">
        <is>
          <t>Usos Rurales</t>
        </is>
      </c>
      <c r="C175" s="2" t="inlineStr">
        <is>
          <t>9.9.1</t>
        </is>
      </c>
      <c r="D175" s="2" t="inlineStr">
        <is>
          <t>Generalidades reglamentación (Art. 397)</t>
        </is>
      </c>
      <c r="E175" s="2" t="inlineStr"/>
      <c r="F175" s="2" t="inlineStr"/>
      <c r="G175" s="2" t="inlineStr">
        <is>
          <t>Criterios básicos: equilibrio territorial, aprovechamiento racional</t>
        </is>
      </c>
      <c r="H175" s="2" t="inlineStr">
        <is>
          <t>Se precisan criterios: equilibrio entre usos protectores y producción primaria, práctica racional según fisiografía, mantenimiento patrimonio ecológico y paisajístico. Incorpora acciones CTI, adaptación y mitigación cambio climático</t>
        </is>
      </c>
      <c r="I175" s="2" t="inlineStr"/>
      <c r="J175" s="2" t="inlineStr">
        <is>
          <t>SUSTANCIAL</t>
        </is>
      </c>
      <c r="K175" s="6" t="inlineStr">
        <is>
          <t>Fondo</t>
        </is>
      </c>
      <c r="L175" s="2" t="inlineStr"/>
      <c r="M175" s="2" t="inlineStr">
        <is>
          <t>Integración CTI en suelo rural es innovadora</t>
        </is>
      </c>
    </row>
    <row r="176">
      <c r="A176" s="2" t="inlineStr">
        <is>
          <t>B. Sistema de Ocupación</t>
        </is>
      </c>
      <c r="B176" s="2" t="inlineStr">
        <is>
          <t>Usos Rurales</t>
        </is>
      </c>
      <c r="C176" s="2" t="inlineStr">
        <is>
          <t>9.9.2</t>
        </is>
      </c>
      <c r="D176" s="2" t="inlineStr">
        <is>
          <t>Metodología delimitación áreas de actividad</t>
        </is>
      </c>
      <c r="E176" s="2" t="inlineStr"/>
      <c r="F176" s="2" t="inlineStr"/>
      <c r="G176" s="2" t="inlineStr">
        <is>
          <t>Zonificación por zonas homogéneas basada en variables biofísicas</t>
        </is>
      </c>
      <c r="H176" s="2" t="inlineStr">
        <is>
          <t>Metodología ampliada: general + específica por área. Redelimitación de áreas Agroforestal, Agropecuaria y Agrícola. No se redelimitan Forestal, Minera en Transición ni Mixta Rural. Se asigna Mixta Rural Alta a territorios que tenían distinta asignación (Palmitas central, La Aldea, Mazo, Santa Elena central)</t>
        </is>
      </c>
      <c r="I176" s="2" t="inlineStr"/>
      <c r="J176" s="2" t="inlineStr">
        <is>
          <t>SUSTANCIAL</t>
        </is>
      </c>
      <c r="K176" s="6" t="inlineStr">
        <is>
          <t>Fondo</t>
        </is>
      </c>
      <c r="L176" s="2" t="inlineStr"/>
      <c r="M176" s="2" t="inlineStr">
        <is>
          <t>Metodología específica por cada área de actividad. Incorpora POMCA, coberturas terrestres, estudio Universidad Nacional, catastro</t>
        </is>
      </c>
    </row>
    <row r="177">
      <c r="A177" s="2" t="inlineStr">
        <is>
          <t>B. Sistema de Ocupación</t>
        </is>
      </c>
      <c r="B177" s="2" t="inlineStr">
        <is>
          <t>Usos Rurales</t>
        </is>
      </c>
      <c r="C177" s="2" t="inlineStr">
        <is>
          <t>9.9.3</t>
        </is>
      </c>
      <c r="D177" s="2" t="inlineStr">
        <is>
          <t>Áreas de Actividad - Criterios generales (Arts. 398-416)</t>
        </is>
      </c>
      <c r="E177" s="2" t="inlineStr"/>
      <c r="F177" s="2" t="inlineStr"/>
      <c r="G177" s="2" t="inlineStr">
        <is>
          <t>7 áreas de actividad definidas</t>
        </is>
      </c>
      <c r="H177" s="2" t="inlineStr">
        <is>
          <t>Se mantienen 7 áreas + criterios ambientales generales de manejo para todas: restauración ecológica, buenas prácticas agrícolas (ICA), construcción sostenible, vivienda campesina con restricciones (máx 50% predio, máx 5 ha)</t>
        </is>
      </c>
      <c r="I177" s="2" t="inlineStr"/>
      <c r="J177" s="2" t="inlineStr">
        <is>
          <t>SUSTANCIAL</t>
        </is>
      </c>
      <c r="K177" s="6" t="inlineStr">
        <is>
          <t>Fondo</t>
        </is>
      </c>
      <c r="L177" s="2" t="inlineStr"/>
      <c r="M177" s="2" t="inlineStr">
        <is>
          <t>Criterios ambientales transversales son NUEVOS</t>
        </is>
      </c>
    </row>
    <row r="178">
      <c r="A178" s="2" t="inlineStr">
        <is>
          <t>B. Sistema de Ocupación</t>
        </is>
      </c>
      <c r="B178" s="2" t="inlineStr">
        <is>
          <t>Usos Rurales</t>
        </is>
      </c>
      <c r="C178" s="2" t="inlineStr">
        <is>
          <t>9.9.3.2</t>
        </is>
      </c>
      <c r="D178" s="2" t="inlineStr">
        <is>
          <t>Área Actividad Forestal (Arts. 399-400)</t>
        </is>
      </c>
      <c r="E178" s="2" t="inlineStr"/>
      <c r="F178" s="2" t="inlineStr"/>
      <c r="G178" s="2" t="inlineStr">
        <is>
          <t>Uso forestal protector básico</t>
        </is>
      </c>
      <c r="H178" s="2" t="inlineStr">
        <is>
          <t>Precisa: conservación, preservación, bosques naturales/plantados. Vinculada a Estructura Ecológica Principal, SINAP, zonas alto riesgo. Capital natural del Distrito. Criterios específicos: restauración, investigación, educación ambiental, control erosión, arqueología, ecoturismo, vivienda campesina existente con restricciones</t>
        </is>
      </c>
      <c r="I178" s="2" t="inlineStr"/>
      <c r="J178" s="2" t="inlineStr">
        <is>
          <t>SUSTANCIAL</t>
        </is>
      </c>
      <c r="K178" s="6" t="inlineStr">
        <is>
          <t>Fondo</t>
        </is>
      </c>
      <c r="L178" s="2" t="inlineStr"/>
      <c r="M178" s="2" t="inlineStr">
        <is>
          <t>Gran detalle operativo en criterios específicos</t>
        </is>
      </c>
    </row>
    <row r="179">
      <c r="A179" s="2" t="inlineStr">
        <is>
          <t>B. Sistema de Ocupación</t>
        </is>
      </c>
      <c r="B179" s="2" t="inlineStr">
        <is>
          <t>Usos Rurales</t>
        </is>
      </c>
      <c r="C179" s="2" t="inlineStr">
        <is>
          <t>9.9.3.3</t>
        </is>
      </c>
      <c r="D179" s="2" t="inlineStr">
        <is>
          <t>Área Actividad Agroforestal (Art. 404)</t>
        </is>
      </c>
      <c r="E179" s="2" t="inlineStr"/>
      <c r="F179" s="2" t="inlineStr"/>
      <c r="G179" s="2" t="inlineStr">
        <is>
          <t>Uso agroforestal definido</t>
        </is>
      </c>
      <c r="H179" s="2" t="inlineStr">
        <is>
          <t>Redelimitada según metodología específica. Arreglos agroforestales y silvopastoriles. Conectividad ecológica</t>
        </is>
      </c>
      <c r="I179" s="2" t="inlineStr"/>
      <c r="J179" s="2" t="inlineStr">
        <is>
          <t>SUSTANCIAL</t>
        </is>
      </c>
      <c r="K179" s="6" t="inlineStr">
        <is>
          <t>Fondo</t>
        </is>
      </c>
      <c r="L179" s="2" t="inlineStr"/>
      <c r="M179" s="2" t="inlineStr">
        <is>
          <t>Redelimitación territorial significativa</t>
        </is>
      </c>
    </row>
    <row r="180">
      <c r="A180" s="2" t="inlineStr">
        <is>
          <t>B. Sistema de Ocupación</t>
        </is>
      </c>
      <c r="B180" s="2" t="inlineStr">
        <is>
          <t>Usos Rurales</t>
        </is>
      </c>
      <c r="C180" s="2" t="inlineStr">
        <is>
          <t>9.9.3.4</t>
        </is>
      </c>
      <c r="D180" s="2" t="inlineStr">
        <is>
          <t>Área Actividad Agropecuaria (Arts. 405-406)</t>
        </is>
      </c>
      <c r="E180" s="2" t="inlineStr"/>
      <c r="F180" s="2" t="inlineStr"/>
      <c r="G180" s="2" t="inlineStr">
        <is>
          <t>Uso agropecuario definido</t>
        </is>
      </c>
      <c r="H180" s="2" t="inlineStr">
        <is>
          <t>Redelimitada. Reconversión productiva. Buenas prácticas pecuarias ICA. Silvopastoriles</t>
        </is>
      </c>
      <c r="I180" s="2" t="inlineStr"/>
      <c r="J180" s="2" t="inlineStr">
        <is>
          <t>SUSTANCIAL</t>
        </is>
      </c>
      <c r="K180" s="6" t="inlineStr">
        <is>
          <t>Fondo</t>
        </is>
      </c>
      <c r="L180" s="2" t="inlineStr"/>
      <c r="M180" s="2" t="inlineStr">
        <is>
          <t>Redelimitación territorial</t>
        </is>
      </c>
    </row>
    <row r="181">
      <c r="A181" s="2" t="inlineStr">
        <is>
          <t>B. Sistema de Ocupación</t>
        </is>
      </c>
      <c r="B181" s="2" t="inlineStr">
        <is>
          <t>Usos Rurales</t>
        </is>
      </c>
      <c r="C181" s="2" t="inlineStr">
        <is>
          <t>9.9.3.5</t>
        </is>
      </c>
      <c r="D181" s="2" t="inlineStr">
        <is>
          <t>Área Actividad Agrícola (Arts. 407)</t>
        </is>
      </c>
      <c r="E181" s="2" t="inlineStr"/>
      <c r="F181" s="2" t="inlineStr"/>
      <c r="G181" s="2" t="inlineStr">
        <is>
          <t>Uso agrícola definido</t>
        </is>
      </c>
      <c r="H181" s="2" t="inlineStr">
        <is>
          <t>Redelimitada según metodología específica</t>
        </is>
      </c>
      <c r="I181" s="2" t="inlineStr"/>
      <c r="J181" s="2" t="inlineStr">
        <is>
          <t>SUSTANCIAL</t>
        </is>
      </c>
      <c r="K181" s="6" t="inlineStr">
        <is>
          <t>Fondo</t>
        </is>
      </c>
      <c r="L181" s="2" t="inlineStr"/>
      <c r="M181" s="2" t="inlineStr">
        <is>
          <t>Redelimitación territorial</t>
        </is>
      </c>
    </row>
    <row r="182">
      <c r="A182" s="2" t="inlineStr">
        <is>
          <t>B. Sistema de Ocupación</t>
        </is>
      </c>
      <c r="B182" s="2" t="inlineStr">
        <is>
          <t>Usos Rurales</t>
        </is>
      </c>
      <c r="C182" s="2" t="inlineStr">
        <is>
          <t>9.9.3.6</t>
        </is>
      </c>
      <c r="D182" s="2" t="inlineStr">
        <is>
          <t>Área Actividad Minera en Transición (Arts. 408-409)</t>
        </is>
      </c>
      <c r="E182" s="2" t="inlineStr"/>
      <c r="F182" s="2" t="inlineStr"/>
      <c r="G182" s="2" t="inlineStr">
        <is>
          <t>Áreas mineras con criterios de manejo</t>
        </is>
      </c>
      <c r="H182" s="2" t="inlineStr">
        <is>
          <t>Se mantiene sin redelimitar. Transición a protección → ecoparques, geoparques. Incorporación a estructura ecológica y espacio público. Clúster construcción</t>
        </is>
      </c>
      <c r="I182" s="2" t="inlineStr"/>
      <c r="J182" s="2" t="inlineStr">
        <is>
          <t>FORMAL</t>
        </is>
      </c>
      <c r="K182" s="3" t="inlineStr">
        <is>
          <t>Forma</t>
        </is>
      </c>
      <c r="L182" s="2" t="inlineStr"/>
      <c r="M182" s="2" t="inlineStr">
        <is>
          <t>Vinculado a TP del bloque B8</t>
        </is>
      </c>
    </row>
    <row r="183">
      <c r="A183" s="2" t="inlineStr">
        <is>
          <t>B. Sistema de Ocupación</t>
        </is>
      </c>
      <c r="B183" s="2" t="inlineStr">
        <is>
          <t>Usos Rurales</t>
        </is>
      </c>
      <c r="C183" s="2" t="inlineStr">
        <is>
          <t>9.9.3.7</t>
        </is>
      </c>
      <c r="D183" s="2" t="inlineStr">
        <is>
          <t>Área Actividad Mixta Rural (Arts. 411-416)</t>
        </is>
      </c>
      <c r="E183" s="2" t="inlineStr"/>
      <c r="F183" s="2" t="inlineStr"/>
      <c r="G183" s="2" t="inlineStr">
        <is>
          <t>Área mixta para suelo suburbano</t>
        </is>
      </c>
      <c r="H183" s="2" t="inlineStr">
        <is>
          <t>Se mantiene sin redelimitar pero se estructura en 3 NIVELES: Mixta Rural 1 (bajo - parcelaciones campestres), Mixta Rural 2 (medio - residencial + producción primaria), Mixta Rural 3 (alto - servicios, comercio, industria). Corredores Rurales definidos</t>
        </is>
      </c>
      <c r="I183" s="2" t="inlineStr"/>
      <c r="J183" s="2" t="inlineStr">
        <is>
          <t>SUSTANCIAL</t>
        </is>
      </c>
      <c r="K183" s="6" t="inlineStr">
        <is>
          <t>Fondo</t>
        </is>
      </c>
      <c r="L183" s="2" t="inlineStr"/>
      <c r="M183" s="2" t="inlineStr">
        <is>
          <t>3 niveles de mixtura rural es innovación significativa. Reasignación Mixta Rural Alta a Palmitas, La Aldea, Mazo, Santa Elena</t>
        </is>
      </c>
    </row>
    <row r="184">
      <c r="A184" s="2" t="inlineStr">
        <is>
          <t>B. Sistema de Ocupación</t>
        </is>
      </c>
      <c r="B184" s="2" t="inlineStr">
        <is>
          <t>Usos Rurales</t>
        </is>
      </c>
      <c r="C184" s="2" t="inlineStr">
        <is>
          <t>9.9.4</t>
        </is>
      </c>
      <c r="D184" s="2" t="inlineStr">
        <is>
          <t>Régimen de Usos Suelo Rural (Art. 398)</t>
        </is>
      </c>
      <c r="E184" s="2" t="inlineStr"/>
      <c r="F184" s="2" t="inlineStr"/>
      <c r="G184" s="2" t="inlineStr">
        <is>
          <t>Tabla usos: permitidos, condicionados, prohibidos</t>
        </is>
      </c>
      <c r="H184" s="2" t="inlineStr">
        <is>
          <t>Se revisa coherencia con normativa 2014-2025. Se estandariza estructura con usos urbanos. Se incorpora concepto de 'uso establecido' vinculado a usos prohibidos. Tipologías de uso en suelo rural. Tablas actualizadas por área de actividad y nivel mixtura</t>
        </is>
      </c>
      <c r="I184" s="2" t="inlineStr"/>
      <c r="J184" s="2" t="inlineStr">
        <is>
          <t>SUSTANCIAL</t>
        </is>
      </c>
      <c r="K184" s="6" t="inlineStr">
        <is>
          <t>Fondo</t>
        </is>
      </c>
      <c r="L184" s="2" t="inlineStr"/>
      <c r="M184" s="2" t="inlineStr">
        <is>
          <t>Ficha SUB-TUSO-0022. Armonización régimen rural-urbano</t>
        </is>
      </c>
    </row>
    <row r="185">
      <c r="A185" s="2" t="inlineStr">
        <is>
          <t>A. Sistema Público y Colectivo</t>
        </is>
      </c>
      <c r="B185" s="2" t="inlineStr">
        <is>
          <t>Sistema Ambiental</t>
        </is>
      </c>
      <c r="C185" s="2" t="inlineStr">
        <is>
          <t>10.2 Definición del Sistema</t>
        </is>
      </c>
      <c r="D185" s="2" t="inlineStr"/>
      <c r="E185" s="2" t="inlineStr">
        <is>
          <t>10.2 Definición del Sistema</t>
        </is>
      </c>
      <c r="F185" s="2" t="inlineStr"/>
      <c r="G185" s="2" t="inlineStr">
        <is>
          <t>Arts. 517-519: "Subsistema de riesgo ambiental" con definiciones generales de gestión ambiental, riesgo y cambio climático como componentes separados.</t>
        </is>
      </c>
      <c r="H185" s="2" t="inlineStr">
        <is>
          <t>Renombrado "Sistema Ambiental, de Gestión del Riesgo y Cambio Climático". Enfoque sistémico: territorio como sistema socio-ecológico. Integración de las 3 gestiones (ambiental, riesgo, cambio climático) bajo concepto unificado.</t>
        </is>
      </c>
      <c r="I185" s="2" t="inlineStr"/>
      <c r="J185" s="2" t="inlineStr">
        <is>
          <t>SUSTANCIAL</t>
        </is>
      </c>
      <c r="K185" s="6" t="inlineStr">
        <is>
          <t>Fondo</t>
        </is>
      </c>
      <c r="L185" s="2" t="inlineStr"/>
      <c r="M185" s="2" t="inlineStr">
        <is>
          <t>Cambio paradigmático: de componentes separados a sistema integrado socio-ecológico.</t>
        </is>
      </c>
    </row>
    <row r="186">
      <c r="A186" s="2" t="inlineStr">
        <is>
          <t>A. Sistema Público y Colectivo</t>
        </is>
      </c>
      <c r="B186" s="2" t="inlineStr">
        <is>
          <t>Sistema Ambiental</t>
        </is>
      </c>
      <c r="C186" s="2" t="inlineStr">
        <is>
          <t>10.2.1 Propósito del Sistema</t>
        </is>
      </c>
      <c r="D186" s="2" t="inlineStr"/>
      <c r="E186" s="2" t="inlineStr">
        <is>
          <t>10.2.1 Propósito del Sistema</t>
        </is>
      </c>
      <c r="F186" s="2" t="inlineStr"/>
      <c r="G186" s="2" t="inlineStr">
        <is>
          <t>Art. 520-521: Objetivos generales y principios básicos de manejo ambiental y riesgo.</t>
        </is>
      </c>
      <c r="H186" s="2" t="inlineStr">
        <is>
          <t>5 propósitos específicos articulados con ODS, metas de neutralidad carbono 2050, reducción 20% GEI. Articulación con protección a moradores.</t>
        </is>
      </c>
      <c r="I186" s="2" t="inlineStr"/>
      <c r="J186" s="2" t="inlineStr">
        <is>
          <t>SUSTANCIAL</t>
        </is>
      </c>
      <c r="K186" s="6" t="inlineStr">
        <is>
          <t>Fondo</t>
        </is>
      </c>
      <c r="L186" s="2" t="inlineStr"/>
      <c r="M186" s="2" t="inlineStr">
        <is>
          <t>Incorpora compromisos internacionales y metas cuantificables.</t>
        </is>
      </c>
    </row>
    <row r="187">
      <c r="A187" s="2" t="inlineStr">
        <is>
          <t>A. Sistema Público y Colectivo</t>
        </is>
      </c>
      <c r="B187" s="2" t="inlineStr">
        <is>
          <t>Sistema Ambiental</t>
        </is>
      </c>
      <c r="C187" s="2" t="inlineStr">
        <is>
          <t>10.2.2 Líneas de Acción (marco general)</t>
        </is>
      </c>
      <c r="D187" s="2" t="inlineStr"/>
      <c r="E187" s="2" t="inlineStr">
        <is>
          <t>10.2.2 Líneas de Acción (marco general)</t>
        </is>
      </c>
      <c r="F187" s="2" t="inlineStr"/>
      <c r="G187" s="2" t="inlineStr">
        <is>
          <t>Art. 579: Líneas de acción genéricas desde el POT.</t>
        </is>
      </c>
      <c r="H187" s="2" t="inlineStr">
        <is>
          <t>Reestructuración total en 4 líneas interdependientes: L1 funcionalidad ecológica, L2 producción/consumo sostenible, L3 ciudad saludable, L4 seguridad territorial/gestión riesgo. Cada línea con lineamientos y criterios clave.</t>
        </is>
      </c>
      <c r="I187" s="2" t="inlineStr"/>
      <c r="J187" s="2" t="inlineStr">
        <is>
          <t>SUSTANCIAL</t>
        </is>
      </c>
      <c r="K187" s="6" t="inlineStr">
        <is>
          <t>Fondo</t>
        </is>
      </c>
      <c r="L187" s="2" t="inlineStr"/>
      <c r="M187" s="2" t="inlineStr">
        <is>
          <t>De líneas genéricas a 4 líneas temáticas articuladas con criterios operativos.</t>
        </is>
      </c>
    </row>
    <row r="188">
      <c r="A188" s="2" t="inlineStr">
        <is>
          <t>A. Sistema Público y Colectivo</t>
        </is>
      </c>
      <c r="B188" s="2" t="inlineStr">
        <is>
          <t>Sistema Ambiental</t>
        </is>
      </c>
      <c r="C188" s="2" t="inlineStr">
        <is>
          <t>10.2.2.1 Línea 1: Funcionalidad ecológica</t>
        </is>
      </c>
      <c r="D188" s="2" t="inlineStr"/>
      <c r="E188" s="2" t="inlineStr">
        <is>
          <t>10.2.2.1 Línea 1: Funcionalidad ecológica</t>
        </is>
      </c>
      <c r="F188" s="2" t="inlineStr"/>
      <c r="G188" s="2" t="inlineStr">
        <is>
          <t>Arts. 522-538: EEP, retiros a corrientes, áreas protegidas, cerros tutelares (descriptivo, listados estáticos).</t>
        </is>
      </c>
      <c r="H188" s="2" t="inlineStr">
        <is>
          <t>Lineamientos para funcionalidad ecológica: sistema hidrográfico, drenaje urbano sostenible (SUDs - clasificación, reglamentación, gobernanza, Plan Maestro), actualización cartográfica retiros, humedales, áreas protegidas (función amortiguadora), Páramo de las Baldías (NUEVO), red conectividad ecológica (NUEVO), cerros tutelares (Comité de Gestión).</t>
        </is>
      </c>
      <c r="I188" s="2" t="inlineStr"/>
      <c r="J188" s="2" t="inlineStr">
        <is>
          <t>SUSTANCIAL/NUEVO</t>
        </is>
      </c>
      <c r="K188" s="6" t="inlineStr">
        <is>
          <t>Fondo</t>
        </is>
      </c>
      <c r="L188" s="2" t="inlineStr"/>
      <c r="M188" s="2" t="inlineStr">
        <is>
          <t>La línea más extensa (~60pp). Innovaciones: SUDs, Eco-RRD, Páramo Baldías, conectividad ecológica.</t>
        </is>
      </c>
    </row>
    <row r="189">
      <c r="A189" s="2" t="inlineStr">
        <is>
          <t>A. Sistema Público y Colectivo</t>
        </is>
      </c>
      <c r="B189" s="2" t="inlineStr">
        <is>
          <t>Sistema Ambiental</t>
        </is>
      </c>
      <c r="C189" s="2" t="inlineStr">
        <is>
          <t>10.2.2.2 Línea 2: Producción y consumo sostenible</t>
        </is>
      </c>
      <c r="D189" s="2" t="inlineStr"/>
      <c r="E189" s="2" t="inlineStr">
        <is>
          <t>10.2.2.2 Línea 2: Producción y consumo sostenible</t>
        </is>
      </c>
      <c r="F189" s="2" t="inlineStr"/>
      <c r="G189" s="2" t="inlineStr">
        <is>
          <t>Art. 585: Estándares de construcción sostenible (breve).</t>
        </is>
      </c>
      <c r="H189" s="2" t="inlineStr">
        <is>
          <t>Línea nueva: economía circular, construcción sostenible (marco reglamentación, componente técnico, incentivos tributarios y no tributarios). Criterios clave para la línea.</t>
        </is>
      </c>
      <c r="I189" s="2" t="inlineStr"/>
      <c r="J189" s="2" t="inlineStr">
        <is>
          <t>NUEVO</t>
        </is>
      </c>
      <c r="K189" s="6" t="inlineStr">
        <is>
          <t>Fondo</t>
        </is>
      </c>
      <c r="L189" s="2" t="inlineStr"/>
      <c r="M189" s="2" t="inlineStr">
        <is>
          <t>Concepto de economía circular sin precedente en Acuerdo 48.</t>
        </is>
      </c>
    </row>
    <row r="190">
      <c r="A190" s="2" t="inlineStr">
        <is>
          <t>A. Sistema Público y Colectivo</t>
        </is>
      </c>
      <c r="B190" s="2" t="inlineStr">
        <is>
          <t>Sistema Ambiental</t>
        </is>
      </c>
      <c r="C190" s="2" t="inlineStr">
        <is>
          <t>10.2.2.3 Línea 3: Ciudad saludable</t>
        </is>
      </c>
      <c r="D190" s="2" t="inlineStr"/>
      <c r="E190" s="2" t="inlineStr">
        <is>
          <t>10.2.2.3 Línea 3: Ciudad saludable</t>
        </is>
      </c>
      <c r="F190" s="2" t="inlineStr"/>
      <c r="G190" s="2" t="inlineStr">
        <is>
          <t>Arts. 578, 581: Lineamientos mitigación contaminación aire (genérico).</t>
        </is>
      </c>
      <c r="H190" s="2" t="inlineStr">
        <is>
          <t>Calidad del aire (límites permisibles, gestión, ZUAP), ruido (límites, gestión MGIR, zonificación acústica, OCA), olores ofensivos, islas de calor (NUEVO). Criterios clave integrados.</t>
        </is>
      </c>
      <c r="I190" s="2" t="inlineStr"/>
      <c r="J190" s="2" t="inlineStr">
        <is>
          <t>SUSTANCIAL/NUEVO</t>
        </is>
      </c>
      <c r="K190" s="6" t="inlineStr">
        <is>
          <t>Fondo</t>
        </is>
      </c>
      <c r="L190" s="2" t="inlineStr"/>
      <c r="M190" s="2" t="inlineStr">
        <is>
          <t>ZUAP, zonificación acústica, islas de calor son nuevos. Articulación con PIGECA, Plan +Aire Puro.</t>
        </is>
      </c>
    </row>
    <row r="191">
      <c r="A191" s="2" t="inlineStr">
        <is>
          <t>A. Sistema Público y Colectivo</t>
        </is>
      </c>
      <c r="B191" s="2" t="inlineStr">
        <is>
          <t>Sistema Ambiental</t>
        </is>
      </c>
      <c r="C191" s="2" t="inlineStr">
        <is>
          <t>10.2.2.4 Línea 4: Seguridad territorial/Gestión del riesgo</t>
        </is>
      </c>
      <c r="D191" s="2" t="inlineStr"/>
      <c r="E191" s="2" t="inlineStr">
        <is>
          <t>10.2.2.4 Línea 4: Seguridad territorial/Gestión del riesgo</t>
        </is>
      </c>
      <c r="F191" s="2" t="inlineStr"/>
      <c r="G191" s="2" t="inlineStr">
        <is>
          <t>Arts. 539-572: Gestión del riesgo con enfoque sectorial (amenaza, vulnerabilidad, medidas estructurales/no estructurales, riesgo tecnológico).</t>
        </is>
      </c>
      <c r="H191" s="2" t="inlineStr">
        <is>
          <t>3 procesos Ley 1523: Conocimiento (escenarios, PDGRD, inventarios, zonificación, monitoreo), Reducción (medidas estructurales/no estructurales actualizadas, riesgo tecnológico ampliado), Manejo (planes emergencia, reasentamiento). Enfoque Eco-RRD. Articulación adaptación climática.</t>
        </is>
      </c>
      <c r="I191" s="2" t="inlineStr"/>
      <c r="J191" s="2" t="inlineStr">
        <is>
          <t>SUSTANCIAL</t>
        </is>
      </c>
      <c r="K191" s="6" t="inlineStr">
        <is>
          <t>Fondo</t>
        </is>
      </c>
      <c r="L191" s="2" t="inlineStr"/>
      <c r="M191" s="2" t="inlineStr">
        <is>
          <t>Actualización con Ley 1523/2012. Eco-RRD como enfoque innovador.</t>
        </is>
      </c>
    </row>
    <row r="192">
      <c r="A192" s="2" t="inlineStr">
        <is>
          <t>A. Sistema Público y Colectivo</t>
        </is>
      </c>
      <c r="B192" s="2" t="inlineStr">
        <is>
          <t>Sistema Ambiental</t>
        </is>
      </c>
      <c r="C192" s="2" t="inlineStr">
        <is>
          <t>10.2.3 Vulnerabilidad y riesgo social y económico</t>
        </is>
      </c>
      <c r="D192" s="2" t="inlineStr"/>
      <c r="E192" s="2" t="inlineStr">
        <is>
          <t>10.2.3 Vulnerabilidad y riesgo social y económico</t>
        </is>
      </c>
      <c r="F192" s="2" t="inlineStr"/>
      <c r="G192" s="2" t="inlineStr">
        <is>
          <t>No existía como sección diferenciada.</t>
        </is>
      </c>
      <c r="H192" s="2" t="inlineStr">
        <is>
          <t>Sección completamente nueva: integración PPPMAEP (Acuerdo 145/2019) en el POT. Protocolo de riesgo de desastres para protección moradores. 10 principios (dignidad humana, derecho a la ciudad, permanencia, equidad, identidad, inclusión, minimización reasentamiento, resiliencia, restablecimiento, solidaridad). Fases: conocimiento y reducción del riesgo.</t>
        </is>
      </c>
      <c r="I192" s="2" t="inlineStr"/>
      <c r="J192" s="2" t="inlineStr">
        <is>
          <t>NUEVO</t>
        </is>
      </c>
      <c r="K192" s="6" t="inlineStr">
        <is>
          <t>Fondo</t>
        </is>
      </c>
      <c r="L192" s="2" t="inlineStr"/>
      <c r="M192" s="2" t="inlineStr">
        <is>
          <t>Articulación formal POT-PPPMAEP. Sin precedente en ordenamiento territorial colombiano.</t>
        </is>
      </c>
    </row>
    <row r="193">
      <c r="A193" s="2" t="inlineStr">
        <is>
          <t>A. Sistema Público y Colectivo</t>
        </is>
      </c>
      <c r="B193" s="2" t="inlineStr">
        <is>
          <t>Sistema Ambiental</t>
        </is>
      </c>
      <c r="C193" s="2" t="inlineStr">
        <is>
          <t>Determinantes ambientales y metropolitanos</t>
        </is>
      </c>
      <c r="D193" s="2" t="inlineStr"/>
      <c r="E193" s="2" t="inlineStr">
        <is>
          <t>Determinantes ambientales y metropolitanos</t>
        </is>
      </c>
      <c r="F193" s="2" t="inlineStr"/>
      <c r="G193" s="2" t="inlineStr">
        <is>
          <t>Referencias normativas básicas (Ley 99/1993, Ley 1523/2012).</t>
        </is>
      </c>
      <c r="H193" s="2" t="inlineStr">
        <is>
          <t>Marco normativo expandido: &gt;25 normas supradistritales. Determinantes ambientales (POMCA, PIGECA, PMAA, PAC&amp;VC, PICCA, Plan +Aire Puro). Determinantes metropolitanos (Acuerdos 4, 16, 22, 23, 24 de 2015-2019). Resoluciones Corantioquia, CORNARE, AMVA.</t>
        </is>
      </c>
      <c r="I193" s="2" t="inlineStr"/>
      <c r="J193" s="2" t="inlineStr">
        <is>
          <t>SUSTANCIAL</t>
        </is>
      </c>
      <c r="K193" s="6" t="inlineStr">
        <is>
          <t>Fondo</t>
        </is>
      </c>
      <c r="L193" s="2" t="inlineStr"/>
      <c r="M193" s="2" t="inlineStr">
        <is>
          <t>El bloque con mayor densidad de determinantes de todo el Tomo IVB.</t>
        </is>
      </c>
    </row>
    <row r="194">
      <c r="A194" s="2" t="inlineStr">
        <is>
          <t>A. Sistema Público y Colectivo</t>
        </is>
      </c>
      <c r="B194" s="2" t="inlineStr">
        <is>
          <t>Sistema Ambiental</t>
        </is>
      </c>
      <c r="C194" s="2" t="inlineStr">
        <is>
          <t>Medidas de mitigación y adaptación basadas en gobernanza</t>
        </is>
      </c>
      <c r="D194" s="2" t="inlineStr"/>
      <c r="E194" s="2" t="inlineStr">
        <is>
          <t>Medidas de mitigación y adaptación basadas en gobernanza</t>
        </is>
      </c>
      <c r="F194" s="2" t="inlineStr"/>
      <c r="G194" s="2" t="inlineStr">
        <is>
          <t>Arts. 578-584: Lineamientos genéricos de mitigación/adaptación al cambio climático.</t>
        </is>
      </c>
      <c r="H194" s="2" t="inlineStr">
        <is>
          <t>Medidas transversales clasificadas como "basadas en gobernanza" articuladas con instrumentos específicos (PIGECA, PEMOT, PMAA, PAC&amp;VC, Plan +Aire Puro, ZUAP). Cada medida vinculada a una línea de acción y un instrumento de planificación específico.</t>
        </is>
      </c>
      <c r="I194" s="2" t="inlineStr"/>
      <c r="J194" s="2" t="inlineStr">
        <is>
          <t>SUSTANCIAL</t>
        </is>
      </c>
      <c r="K194" s="6" t="inlineStr">
        <is>
          <t>Fondo</t>
        </is>
      </c>
      <c r="L194" s="2" t="inlineStr"/>
      <c r="M194" s="2" t="inlineStr">
        <is>
          <t>Innovación: taxonomía de medidas "basadas en gobernanza" con trazabilidad a instrumentos.</t>
        </is>
      </c>
    </row>
    <row r="195">
      <c r="A195" s="2" t="inlineStr">
        <is>
          <t>A. Sistema Público y Colectivo</t>
        </is>
      </c>
      <c r="B195" s="2" t="inlineStr">
        <is>
          <t>Sistema Participativo</t>
        </is>
      </c>
      <c r="C195" s="2" t="inlineStr">
        <is>
          <t>10.3.1 Gestión de Instrumentos
(Arts. 586-597)</t>
        </is>
      </c>
      <c r="D195" s="2" t="inlineStr"/>
      <c r="E195" s="2" t="inlineStr"/>
      <c r="F195" s="2" t="inlineStr"/>
      <c r="G195" s="2" t="inlineStr">
        <is>
          <t>Sistema de Gestión para la Equidad Territorial definido genéricamente. CDE-POT con rol limitado. Sin modelo gerencial operativo. Débiles contenidos normativos para instancias de articulación.</t>
        </is>
      </c>
      <c r="H195" s="2" t="inlineStr">
        <is>
          <t>Sistema Estructural de Gestión del POT con 3 niveles (Direccionamiento Estratégico, Planificación, Operación). Modelo Gerencial operativo. CDE-POT fortalecido con nuevos integrantes (DAGRD, Sec. Medio Ambiente). 10 lineamientos de funcionamiento. CEA (Centro Especializado de Atención). Fondo de gestión POT.</t>
        </is>
      </c>
      <c r="I195" s="2" t="inlineStr"/>
      <c r="J195" s="2" t="inlineStr">
        <is>
          <t>SUSTANCIAL</t>
        </is>
      </c>
      <c r="K195" s="6" t="inlineStr">
        <is>
          <t>Fondo</t>
        </is>
      </c>
      <c r="L195" s="2" t="inlineStr"/>
      <c r="M195" s="2" t="inlineStr">
        <is>
          <t>Transformación de definición genérica a estructura operativa con niveles, roles y lineamientos. Fundamentado en MIPG y Modelo de Gerencia Pública 2024.</t>
        </is>
      </c>
    </row>
    <row r="196">
      <c r="A196" s="2" t="inlineStr">
        <is>
          <t>A. Sistema Público y Colectivo</t>
        </is>
      </c>
      <c r="B196" s="2" t="inlineStr">
        <is>
          <t>Sistema Participativo</t>
        </is>
      </c>
      <c r="C196" s="2" t="inlineStr">
        <is>
          <t>10.3.2 Sistema de Información
del OT - SIOT</t>
        </is>
      </c>
      <c r="D196" s="2" t="inlineStr"/>
      <c r="E196" s="2" t="inlineStr"/>
      <c r="F196" s="2" t="inlineStr"/>
      <c r="G196" s="2" t="inlineStr">
        <is>
          <t>Sistema de Seguimiento y Evaluación (SSE-POT) con alcance limitado al expediente municipal. Sin interoperabilidad ni estándares de datos.</t>
        </is>
      </c>
      <c r="H196" s="2" t="inlineStr">
        <is>
          <t>SIOT (Sistema de Información del Ordenamiento Territorial) que integra el Expediente Distrital. 3 perspectivas: etapas de planificación territorial (PHVA), estructura administrativa, Expediente Distrital. Arquitectura interoperable con estándares de metadatos y calidad.</t>
        </is>
      </c>
      <c r="I196" s="2" t="inlineStr"/>
      <c r="J196" s="2" t="inlineStr">
        <is>
          <t>SUSTANCIAL</t>
        </is>
      </c>
      <c r="K196" s="6" t="inlineStr">
        <is>
          <t>Fondo</t>
        </is>
      </c>
      <c r="L196" s="2" t="inlineStr"/>
      <c r="M196" s="2" t="inlineStr">
        <is>
          <t>Numeral completamente sustituido. De SSE-POT a SIOT: sistema integral de información territorial con gobernanza de datos.</t>
        </is>
      </c>
    </row>
    <row r="197">
      <c r="A197" s="2" t="inlineStr">
        <is>
          <t>A. Sistema Público y Colectivo</t>
        </is>
      </c>
      <c r="B197" s="2" t="inlineStr">
        <is>
          <t>Sistema Participativo</t>
        </is>
      </c>
      <c r="C197" s="2" t="inlineStr">
        <is>
          <t>10.3.3 Expediente Distrital</t>
        </is>
      </c>
      <c r="D197" s="2" t="inlineStr"/>
      <c r="E197" s="2" t="inlineStr"/>
      <c r="F197" s="2" t="inlineStr"/>
      <c r="G197" s="2" t="inlineStr">
        <is>
          <t>Expediente Municipal con funciones básicas. Archivo técnico e histórico sin protocolos. Seguimiento y evaluación con indicadores desactualizados. Sin gestión del conocimiento.</t>
        </is>
      </c>
      <c r="H197" s="2" t="inlineStr">
        <is>
          <t>Expediente Distrital reestructurado con: ATH (Archivo Técnico e Histórico) con interoperabilidad y micrositio público; Seguimiento y Evaluación con 4 instrumentos; Lectura Operativa (mapa conceptual POT + matriz fines-medios); Gestión del Conocimiento con Mesa Distrital, Gestores y Aliados del Conocimiento, 4 fases operativas, 3 programas estratégicos.</t>
        </is>
      </c>
      <c r="I197" s="2" t="inlineStr"/>
      <c r="J197" s="2" t="inlineStr">
        <is>
          <t>SUSTANCIAL</t>
        </is>
      </c>
      <c r="K197" s="6" t="inlineStr">
        <is>
          <t>Fondo</t>
        </is>
      </c>
      <c r="L197" s="2" t="inlineStr"/>
      <c r="M197" s="2" t="inlineStr">
        <is>
          <t>Transformación de expediente básico a sistema integral. Componente de Gestión del Conocimiento enteramente nuevo. Metodología alineada con Guía MVCT 2019.</t>
        </is>
      </c>
    </row>
    <row r="198">
      <c r="A198" s="2" t="inlineStr">
        <is>
          <t>A. Sistema Público y Colectivo</t>
        </is>
      </c>
      <c r="B198" s="2" t="inlineStr">
        <is>
          <t>Sistema Participativo</t>
        </is>
      </c>
      <c r="C198" s="2" t="inlineStr">
        <is>
          <t>10.3.4 Participación
(Arts. 599-602)</t>
        </is>
      </c>
      <c r="D198" s="2" t="inlineStr"/>
      <c r="E198" s="2" t="inlineStr"/>
      <c r="F198" s="2" t="inlineStr"/>
      <c r="G198" s="2" t="inlineStr">
        <is>
          <t>Participación tratada como apéndice de Gestión del Conocimiento. Sin marco jurídico propio. Sin principios ni enfoques específicos. Participación episódica en formulación.</t>
        </is>
      </c>
      <c r="H198" s="2" t="inlineStr">
        <is>
          <t>Sección autónoma con marco jurídico robusto. 10 principios (obligatoriedad, fundamentalidad, transversalidad, incidencia efectiva, publicidad/transparencia, corresponsabilidad, control social, progresividad, articulación institucional, continuidad). 8 enfoques (territorial, diferencial, género, étnico, curso de vida, basado en derechos, basado en conocimiento, gobernanza colaborativa). 5 rutas de gobernanza. Estrategia Integral de Participación (Decreto 1229/2025).</t>
        </is>
      </c>
      <c r="I198" s="2" t="inlineStr"/>
      <c r="J198" s="2" t="inlineStr">
        <is>
          <t>NUEVO</t>
        </is>
      </c>
      <c r="K198" s="6" t="inlineStr">
        <is>
          <t>Fondo</t>
        </is>
      </c>
      <c r="L198" s="2" t="inlineStr"/>
      <c r="M198" s="2" t="inlineStr">
        <is>
          <t>Separación normativa de Gestión del Conocimiento. Participación permanente, incidente, medible. Enfoque de derechos con trazabilidad verificable.</t>
        </is>
      </c>
    </row>
    <row r="199">
      <c r="A199" s="2" t="inlineStr">
        <is>
          <t>A. Sistema Público y Colectivo</t>
        </is>
      </c>
      <c r="B199" s="2" t="inlineStr">
        <is>
          <t>Sistema Participativo</t>
        </is>
      </c>
      <c r="C199" s="2" t="inlineStr">
        <is>
          <t>10.3.5 Gestión Normativa,
Monitoreo y Control</t>
        </is>
      </c>
      <c r="D199" s="2" t="inlineStr"/>
      <c r="E199" s="2" t="inlineStr"/>
      <c r="F199" s="2" t="inlineStr"/>
      <c r="G199" s="2" t="inlineStr">
        <is>
          <t>Limitado a 'Seguimiento y Control a Curadurías' dentro de Gestión del Conocimiento y Participación. Sin desarrollo en DTS de formulación. Vacío conceptual en el Acuerdo 48/2014.</t>
        </is>
      </c>
      <c r="H199" s="2" t="inlineStr">
        <is>
          <t>Componente enteramente nuevo con 5 subcapítulos: Marco institucional y normativo; Alcance del monitoreo; Enfoques de actuación; Gestión de información territorial; Control social y veedurías. Articula DAP, Secretaría de Gestión y Control Territorial, Curadurías, Inspecciones de Policía. Integración con SIOT.</t>
        </is>
      </c>
      <c r="I199" s="2" t="inlineStr"/>
      <c r="J199" s="2" t="inlineStr">
        <is>
          <t>NUEVO</t>
        </is>
      </c>
      <c r="K199" s="6" t="inlineStr">
        <is>
          <t>Fondo</t>
        </is>
      </c>
      <c r="L199" s="2" t="inlineStr"/>
      <c r="M199" s="2" t="inlineStr">
        <is>
          <t>Corrige vacío estructural del Acuerdo 48/2014. Evolución de control de curadurías a monitoreo territorial integral. Ley 388/1997, Ley 810/2003, Ley 1796/2016, Decreto 883/2016.</t>
        </is>
      </c>
    </row>
    <row r="200">
      <c r="A200" s="2" t="inlineStr">
        <is>
          <t>A. Sistema Público y Colectivo</t>
        </is>
      </c>
      <c r="B200" s="2" t="inlineStr">
        <is>
          <t>Sistema Participativo</t>
        </is>
      </c>
      <c r="C200" s="2" t="inlineStr">
        <is>
          <t>Gobernanza Colaborativa
(transversal)</t>
        </is>
      </c>
      <c r="D200" s="2" t="inlineStr"/>
      <c r="E200" s="2" t="inlineStr"/>
      <c r="F200" s="2" t="inlineStr"/>
      <c r="G200" s="2" t="inlineStr">
        <is>
          <t>Sin mención. Instancias de articulación sin protocolos ni agenda permanente.</t>
        </is>
      </c>
      <c r="H200" s="2" t="inlineStr">
        <is>
          <t>Gobernanza colaborativa como enfoque transversal. Pacto Territorial Multiactor. Comité Intersectorial del POT. Red de Veedurías y Evaluación Participativa. Mesas técnicas de articulación. Estrategias de cultura ciudadana, ejercicio democrático, compromiso sociopolítico, inclusión, control social, comunicación pública.</t>
        </is>
      </c>
      <c r="I200" s="2" t="inlineStr"/>
      <c r="J200" s="2" t="inlineStr">
        <is>
          <t>NUEVO</t>
        </is>
      </c>
      <c r="K200" s="6" t="inlineStr">
        <is>
          <t>Fondo</t>
        </is>
      </c>
      <c r="L200" s="2" t="inlineStr"/>
      <c r="M200" s="2" t="inlineStr">
        <is>
          <t>Concepción del POT como pacto territorial multiactor con corresponsabilidad de Estado, ciudadanía, sector privado y academia.</t>
        </is>
      </c>
    </row>
    <row r="201">
      <c r="A201" s="2" t="inlineStr">
        <is>
          <t>A. Sistema Público y Colectivo</t>
        </is>
      </c>
      <c r="B201" s="2" t="inlineStr">
        <is>
          <t>Sistema Participativo</t>
        </is>
      </c>
      <c r="C201" s="2" t="inlineStr">
        <is>
          <t>Información y Tecnología
(transversal)</t>
        </is>
      </c>
      <c r="D201" s="2" t="inlineStr"/>
      <c r="E201" s="2" t="inlineStr"/>
      <c r="F201" s="2" t="inlineStr"/>
      <c r="G201" s="2" t="inlineStr">
        <is>
          <t>Sin plataformas digitales geo-matriciales. Sin Big Data territorial. Canales de comunicación insuficientes.</t>
        </is>
      </c>
      <c r="H201" s="2" t="inlineStr">
        <is>
          <t>Plataformas digitales geo-matriciales con Big Data e inteligencia de datos territoriales. Plataforma SIG participativa. Observatorio del POT. Sistemas de trazabilidad de aportes. Geoencuestas y consultas digitales. Repositorio único POT.</t>
        </is>
      </c>
      <c r="I201" s="2" t="inlineStr"/>
      <c r="J201" s="2" t="inlineStr">
        <is>
          <t>NUEVO</t>
        </is>
      </c>
      <c r="K201" s="6" t="inlineStr">
        <is>
          <t>Fondo</t>
        </is>
      </c>
      <c r="L201" s="2" t="inlineStr"/>
      <c r="M201" s="2" t="inlineStr">
        <is>
          <t>Salto tecnológico significativo. Datos como base para prospectiva territorial y analítica de negocios inteligentes.</t>
        </is>
      </c>
    </row>
    <row r="202">
      <c r="A202" s="2" t="inlineStr">
        <is>
          <t>A. Sistema Público y Colectivo</t>
        </is>
      </c>
      <c r="B202" s="2" t="inlineStr">
        <is>
          <t>Programa de Ejecución</t>
        </is>
      </c>
      <c r="C202" s="2" t="inlineStr">
        <is>
          <t>11.1 Definición del Programa de Ejecución (Art. 613)</t>
        </is>
      </c>
      <c r="D202" s="2" t="inlineStr"/>
      <c r="E202" s="2" t="inlineStr"/>
      <c r="F202" s="2" t="inlineStr"/>
      <c r="G202" s="2" t="inlineStr">
        <is>
          <t>Definición básica conforme Art. 18 Ley 388/1997. Programa limitado a listados fragmentados de proyectos sin estructura jerárquica. Desarrollo parcial de elementos mínimos legales.</t>
        </is>
      </c>
      <c r="H202" s="2" t="inlineStr">
        <is>
          <t>Redefinición integral: programa como instrumento obligatorio del POT y herramienta práctica de gestión. Doble naturaleza: normativa (Ley 388) y operativa. Enfoque integral articulando acciones integrales, programas y proyectos con objetivos estratégicos, MOT, inversiones e instrumentos de financiación.</t>
        </is>
      </c>
      <c r="I202" s="2" t="inlineStr"/>
      <c r="J202" s="2" t="inlineStr">
        <is>
          <t>SUSTANCIAL</t>
        </is>
      </c>
      <c r="K202" s="6" t="inlineStr">
        <is>
          <t>Fondo</t>
        </is>
      </c>
      <c r="L202" s="2" t="inlineStr"/>
      <c r="M202" s="2" t="inlineStr">
        <is>
          <t>De listado fragmentado a guía estructurada de intervenciones. Articulación explícita con Planes de Desarrollo Distrital y cadena de valor.</t>
        </is>
      </c>
    </row>
    <row r="203">
      <c r="A203" s="2" t="inlineStr">
        <is>
          <t>A. Sistema Público y Colectivo</t>
        </is>
      </c>
      <c r="B203" s="2" t="inlineStr">
        <is>
          <t>Programa de Ejecución</t>
        </is>
      </c>
      <c r="C203" s="2" t="inlineStr">
        <is>
          <t>11.2 Estructura del Programa de Ejecución</t>
        </is>
      </c>
      <c r="D203" s="2" t="inlineStr"/>
      <c r="E203" s="2" t="inlineStr"/>
      <c r="F203" s="2" t="inlineStr"/>
      <c r="G203" s="2" t="inlineStr">
        <is>
          <t>Estructura parcial: programas y proyectos sin elementos completos (faltaban responsables, costos, fuentes de financiación, horizontes temporales según Ley 388/1997 y Decreto 1077/2015).</t>
        </is>
      </c>
      <c r="H203" s="2" t="inlineStr">
        <is>
          <t>Estructura completa con 8 elementos: (a) Objetivos estratégicos POT, (b) Componentes del Sistema de OT, (c) Dimensión programática (acciones integrales→programas→proyectos), (d) Categorías, (e) Localización, (f) Vigencia, (g) Costos, (h) Fuentes de financiación, (k) Responsables, (l) Metas. Incorpora fichas de proyecto (lineamientos DNP, cadena de valor) y Plan financiero con matriz de costos.</t>
        </is>
      </c>
      <c r="I203" s="2" t="inlineStr"/>
      <c r="J203" s="2" t="inlineStr">
        <is>
          <t>SUSTANCIAL</t>
        </is>
      </c>
      <c r="K203" s="6" t="inlineStr">
        <is>
          <t>Fondo</t>
        </is>
      </c>
      <c r="L203" s="2" t="inlineStr"/>
      <c r="M203" s="2" t="inlineStr">
        <is>
          <t>Incorporación de todos los elementos que faltaban según normativa nacional. Fichas de proyecto estandarizadas facilitan articulación con Banco de Proyectos de Inversión.</t>
        </is>
      </c>
    </row>
    <row r="204">
      <c r="A204" s="2" t="inlineStr">
        <is>
          <t>A. Sistema Público y Colectivo</t>
        </is>
      </c>
      <c r="B204" s="2" t="inlineStr">
        <is>
          <t>Programa de Ejecución</t>
        </is>
      </c>
      <c r="C204" s="2" t="inlineStr">
        <is>
          <t>11.3.1 Acciones Integrales</t>
        </is>
      </c>
      <c r="D204" s="2" t="inlineStr"/>
      <c r="E204" s="2" t="inlineStr"/>
      <c r="F204" s="2" t="inlineStr"/>
      <c r="G204" s="2" t="inlineStr">
        <is>
          <t>Sin concepto de acciones integrales. Proyectos aislados sin articulación temática o territorial.</t>
        </is>
      </c>
      <c r="H204" s="2" t="inlineStr">
        <is>
          <t>Nuevo concepto: intervenciones de alto impacto que articulan programas y proyectos de corto, mediano y largo plazo. Agrupan subsistemas alrededor de áreas que requieren intervenciones coordinadas. Permiten reconocer áreas prioritarias, coordinar inversiones, evitar duplicidad y generar impactos acumulativos.</t>
        </is>
      </c>
      <c r="I204" s="2" t="inlineStr"/>
      <c r="J204" s="2" t="inlineStr">
        <is>
          <t>NUEVO</t>
        </is>
      </c>
      <c r="K204" s="6" t="inlineStr">
        <is>
          <t>Fondo</t>
        </is>
      </c>
      <c r="L204" s="2" t="inlineStr"/>
      <c r="M204" s="2" t="inlineStr">
        <is>
          <t>Cambio conceptual fundamental: de lista de proyectos aislados a sistema coherente de intervenciones articuladas.</t>
        </is>
      </c>
    </row>
    <row r="205">
      <c r="A205" s="2" t="inlineStr">
        <is>
          <t>A. Sistema Público y Colectivo</t>
        </is>
      </c>
      <c r="B205" s="2" t="inlineStr">
        <is>
          <t>Programa de Ejecución</t>
        </is>
      </c>
      <c r="C205" s="2" t="inlineStr">
        <is>
          <t>11.3.2-11.3.3 Programas y Proyectos</t>
        </is>
      </c>
      <c r="D205" s="2" t="inlineStr"/>
      <c r="E205" s="2" t="inlineStr"/>
      <c r="F205" s="2" t="inlineStr"/>
      <c r="G205" s="2" t="inlineStr">
        <is>
          <t>Programas y proyectos definidos de forma genérica. Sin requisitos mínimos verificables. Sin lógica de cadena de valor.</t>
        </is>
      </c>
      <c r="H205" s="2" t="inlineStr">
        <is>
          <t>Programas: conjunto estructurado de actuaciones bajo objetivo común y marco temporal. Proyectos: unidad operacional con 8 requisitos mínimos (pertinencia estratégica, viabilidad financiera, delimitación espacio-temporal, justificación, estructura de objetivos, resultados esperados, idoneidad del ejecutor, seguimiento).</t>
        </is>
      </c>
      <c r="I205" s="2" t="inlineStr"/>
      <c r="J205" s="2" t="inlineStr">
        <is>
          <t>SUSTANCIAL</t>
        </is>
      </c>
      <c r="K205" s="6" t="inlineStr">
        <is>
          <t>Fondo</t>
        </is>
      </c>
      <c r="L205" s="2" t="inlineStr"/>
      <c r="M205" s="2" t="inlineStr">
        <is>
          <t>Proyectos con atributos verificables y requisitos mínimos alineados con metodología DNP y Banco de Proyectos.</t>
        </is>
      </c>
    </row>
    <row r="206">
      <c r="A206" s="2" t="inlineStr">
        <is>
          <t>A. Sistema Público y Colectivo</t>
        </is>
      </c>
      <c r="B206" s="2" t="inlineStr">
        <is>
          <t>Programa de Ejecución</t>
        </is>
      </c>
      <c r="C206" s="2" t="inlineStr">
        <is>
          <t>11.3.4 Categorización y Priorización</t>
        </is>
      </c>
      <c r="D206" s="2" t="inlineStr"/>
      <c r="E206" s="2" t="inlineStr"/>
      <c r="F206" s="2" t="inlineStr"/>
      <c r="G206" s="2" t="inlineStr">
        <is>
          <t>Sin sistema de categorización ni criterios de priorización. Todos los proyectos tratados de forma indiferenciada.</t>
        </is>
      </c>
      <c r="H206" s="2" t="inlineStr">
        <is>
          <t>Categorización en 3 tipos: (A) Estructurantes (mayor impacto, largo plazo, multiinstitucionales), (B) Complementarios (menor escala, detonantes, funcionalidad), (C) Gestión (administrativos, normativos, técnicos, financieros). Priorización: proceso técnico-administrativo-político-social según jerarquía, urgencia y recursos. Determinantes de superior jerarquía priorizados (riesgo, ambiente, patrimonio, infraestructura nacional/regional).</t>
        </is>
      </c>
      <c r="I206" s="2" t="inlineStr"/>
      <c r="J206" s="2" t="inlineStr">
        <is>
          <t>NUEVO</t>
        </is>
      </c>
      <c r="K206" s="6" t="inlineStr">
        <is>
          <t>Fondo</t>
        </is>
      </c>
      <c r="L206" s="2" t="inlineStr"/>
      <c r="M206" s="2" t="inlineStr">
        <is>
          <t>Innovación operativa significativa. Permite racionalizar asignación de recursos y establecer secuencia lógica de intervención.</t>
        </is>
      </c>
    </row>
    <row r="207">
      <c r="A207" s="2" t="inlineStr">
        <is>
          <t>C. Sistemas Institucionales y de Gestión</t>
        </is>
      </c>
      <c r="B207" s="2" t="inlineStr">
        <is>
          <t>Marco Gestión Equidad</t>
        </is>
      </c>
      <c r="C207" s="2" t="inlineStr">
        <is>
          <t>10.1.1</t>
        </is>
      </c>
      <c r="D207" s="2" t="inlineStr">
        <is>
          <t>Definición del Sistema</t>
        </is>
      </c>
      <c r="E207" s="2" t="inlineStr"/>
      <c r="F207" s="2" t="inlineStr"/>
      <c r="G207" s="2" t="inlineStr">
        <is>
          <t>Art. 442-443. Sistema de Gestión para la Equidad Territorial. Componentes: Subsistemas de Planificación Complementaria, Intervención del Suelo y Financiación.</t>
        </is>
      </c>
      <c r="H207" s="2" t="inlineStr">
        <is>
          <t>Contenido sustituido. Precisión de definición con referencia explícita a arts. 2 y 38 de Ley 388/1997. Añade principio de restablecer desequilibrios de norma diferenciada por polígono de tratamiento. Incluye Sistema Participativo e Institucional como cuarto componente. Cambio Municipio→Distrito.</t>
        </is>
      </c>
      <c r="I207" s="2" t="inlineStr"/>
      <c r="J207" s="2" t="inlineStr">
        <is>
          <t>Sustancial</t>
        </is>
      </c>
      <c r="K207" s="6" t="inlineStr">
        <is>
          <t>Fondo</t>
        </is>
      </c>
      <c r="L207" s="2" t="inlineStr"/>
      <c r="M207" s="2" t="inlineStr">
        <is>
          <t>Ampliación de componentes del sistema.</t>
        </is>
      </c>
    </row>
    <row r="208">
      <c r="A208" s="2" t="inlineStr">
        <is>
          <t>C. Sistemas Institucionales y de Gestión</t>
        </is>
      </c>
      <c r="B208" s="2" t="inlineStr">
        <is>
          <t>Marco Gestión Equidad</t>
        </is>
      </c>
      <c r="C208" s="2" t="inlineStr">
        <is>
          <t>10.1.2</t>
        </is>
      </c>
      <c r="D208" s="2" t="inlineStr">
        <is>
          <t>Criterios del Sistema</t>
        </is>
      </c>
      <c r="E208" s="2" t="inlineStr"/>
      <c r="F208" s="2" t="inlineStr"/>
      <c r="G208" s="2" t="inlineStr">
        <is>
          <t>Art. 445. Numeración 10.1.3. Criterios generales del sistema.</t>
        </is>
      </c>
      <c r="H208" s="2" t="inlineStr">
        <is>
          <t>Contenido relocalizado como 10.1.2 con precisiones. Se mantiene esencia: toda actuación urbanística implica aporte proporcional a beneficios; toda carga requiere mecanismos de compensación. Precisión: compensaciones por decisión normativa, no condiciones biofísicas. Cambio Municipal→Distrital. Añade articulación sistemas metropolitano y departamental.</t>
        </is>
      </c>
      <c r="I208" s="2" t="inlineStr"/>
      <c r="J208" s="2" t="inlineStr">
        <is>
          <t>Formal + Sustancial</t>
        </is>
      </c>
      <c r="K208" s="6" t="inlineStr">
        <is>
          <t>Fondo</t>
        </is>
      </c>
      <c r="L208" s="2" t="inlineStr"/>
      <c r="M208" s="2" t="inlineStr">
        <is>
          <t>Reorganización con precisiones normativas.</t>
        </is>
      </c>
    </row>
    <row r="209">
      <c r="A209" s="2" t="inlineStr">
        <is>
          <t>C. Sistemas Institucionales y de Gestión</t>
        </is>
      </c>
      <c r="B209" s="2" t="inlineStr">
        <is>
          <t>Marco Gestión Equidad</t>
        </is>
      </c>
      <c r="C209" s="2" t="inlineStr">
        <is>
          <t>10.1.3</t>
        </is>
      </c>
      <c r="D209" s="2" t="inlineStr">
        <is>
          <t>Definición de Cargas y Beneficios</t>
        </is>
      </c>
      <c r="E209" s="2" t="inlineStr"/>
      <c r="F209" s="2" t="inlineStr"/>
      <c r="G209" s="2" t="inlineStr">
        <is>
          <t>Art. 444. Numeración 10.1.2. Definición de Cargas y Beneficios Urbanísticos.</t>
        </is>
      </c>
      <c r="H209" s="2" t="inlineStr">
        <is>
          <t>Contenido relocalizado como 10.1.3 con correcciones. Cargas: inversiones Sistema Público y Colectivo, suelo EEP, reserva VIP, costos de formulación, retorno de plusvalías, contraprestaciones. Beneficios: rentas densidades, índices, derechos adicionales, usos. Cambio Municipal→Distrital.</t>
        </is>
      </c>
      <c r="I209" s="2" t="inlineStr"/>
      <c r="J209" s="2" t="inlineStr">
        <is>
          <t>Formal + Sustancial</t>
        </is>
      </c>
      <c r="K209" s="6" t="inlineStr">
        <is>
          <t>Fondo</t>
        </is>
      </c>
      <c r="L209" s="2" t="inlineStr"/>
      <c r="M209" s="2" t="inlineStr">
        <is>
          <t>Reorganización con correcciones de definiciones.</t>
        </is>
      </c>
    </row>
    <row r="210">
      <c r="A210" s="2" t="inlineStr">
        <is>
          <t>C. Sistemas Institucionales y de Gestión</t>
        </is>
      </c>
      <c r="B210" s="2" t="inlineStr">
        <is>
          <t>Marco Gestión Equidad</t>
        </is>
      </c>
      <c r="C210" s="2" t="inlineStr">
        <is>
          <t>10.1.3.3</t>
        </is>
      </c>
      <c r="D210" s="2" t="inlineStr">
        <is>
          <t>Sistema de Reparto Equitativo de Cargas y Beneficios</t>
        </is>
      </c>
      <c r="E210" s="2" t="inlineStr"/>
      <c r="F210" s="2" t="inlineStr"/>
      <c r="G210" s="2" t="inlineStr">
        <is>
          <t>Marco general de reparto equitativo.</t>
        </is>
      </c>
      <c r="H210" s="2" t="inlineStr">
        <is>
          <t>Amplia fundamentación técnica. Diagnóstico: no se implementaron cobros plusvalías, atraso valorización, insuficiencia cesiones. Propone redistribución de recursos, Consejo de Direccionamiento Estratégico, subordinación de instrumentos a programa de ejecución POT. Principios Ley 1454/2011.</t>
        </is>
      </c>
      <c r="I210" s="2" t="inlineStr"/>
      <c r="J210" s="2" t="inlineStr">
        <is>
          <t>Sustancial</t>
        </is>
      </c>
      <c r="K210" s="6" t="inlineStr">
        <is>
          <t>Fondo</t>
        </is>
      </c>
      <c r="L210" s="2" t="inlineStr"/>
      <c r="M210" s="2" t="inlineStr">
        <is>
          <t>Diagnóstico de falencias de implementación POT 1999-2014.</t>
        </is>
      </c>
    </row>
    <row r="211">
      <c r="A211" s="2" t="inlineStr">
        <is>
          <t>C. Sistemas Institucionales y de Gestión</t>
        </is>
      </c>
      <c r="B211" s="2" t="inlineStr">
        <is>
          <t>Marco Gestión Equidad</t>
        </is>
      </c>
      <c r="C211" s="2" t="inlineStr">
        <is>
          <t>10.1.3.3.1</t>
        </is>
      </c>
      <c r="D211" s="2" t="inlineStr">
        <is>
          <t>Configuración de Cargas y Beneficios</t>
        </is>
      </c>
      <c r="E211" s="2" t="inlineStr"/>
      <c r="F211" s="2" t="inlineStr"/>
      <c r="G211" s="2" t="inlineStr">
        <is>
          <t>Art. 446. Configuración de cargas y beneficios.</t>
        </is>
      </c>
      <c r="H211" s="2" t="inlineStr">
        <is>
          <t>Precisión de decisiones POT que configuran cargas: tratamiento Conservación Ambiental, componentes Sistema Público y Colectivo, tratamientos Conservación niveles 1 y 3, MIB, obligaciones. Beneficios: clases suelo, normas de aprovechamientos. En Conservación 2 y Consolidación 5 no hay compensaciones. PLRU determinará cargas en Consolidación 3.</t>
        </is>
      </c>
      <c r="I211" s="2" t="inlineStr"/>
      <c r="J211" s="2" t="inlineStr">
        <is>
          <t>Sustancial</t>
        </is>
      </c>
      <c r="K211" s="6" t="inlineStr">
        <is>
          <t>Fondo</t>
        </is>
      </c>
      <c r="L211" s="2" t="inlineStr"/>
      <c r="M211" s="2" t="inlineStr">
        <is>
          <t>Detalle específico de cargas y beneficios por tratamiento.</t>
        </is>
      </c>
    </row>
    <row r="212">
      <c r="A212" s="2" t="inlineStr">
        <is>
          <t>C. Sistemas Institucionales y de Gestión</t>
        </is>
      </c>
      <c r="B212" s="2" t="inlineStr">
        <is>
          <t>Marco Gestión Equidad</t>
        </is>
      </c>
      <c r="C212" s="2" t="inlineStr">
        <is>
          <t>10.1.4</t>
        </is>
      </c>
      <c r="D212" s="2" t="inlineStr">
        <is>
          <t>Metodología Zonas Geoeconómicas Homogéneas</t>
        </is>
      </c>
      <c r="E212" s="2" t="inlineStr"/>
      <c r="F212" s="2" t="inlineStr"/>
      <c r="G212" s="2" t="inlineStr">
        <is>
          <t>Referencia a mapa de zonas geoeconómicas sin desarrollo metodológico detallado.</t>
        </is>
      </c>
      <c r="H212" s="2" t="inlineStr">
        <is>
          <t>NUEVO desarrollo completo. Metodología IGAC para valoración comercial suelo. Actualización anual por Subsecretaría Catastro (primeros 30 días) con mesa de expertos (DAP, Hacienda, Gestión y Control Territorial). Publicación portales institucionales. Observatorio para histórico. Insumo para todos instrumentos sistema.</t>
        </is>
      </c>
      <c r="I212" s="2" t="inlineStr"/>
      <c r="J212" s="2" t="inlineStr">
        <is>
          <t>Nuevo</t>
        </is>
      </c>
      <c r="K212" s="6" t="inlineStr">
        <is>
          <t>Fondo</t>
        </is>
      </c>
      <c r="L212" s="2" t="inlineStr"/>
      <c r="M212" s="2" t="inlineStr">
        <is>
          <t>Formaliza metodología de valoración territorial.</t>
        </is>
      </c>
    </row>
    <row r="213">
      <c r="A213" s="2" t="inlineStr">
        <is>
          <t>C. Sistemas Institucionales y de Gestión</t>
        </is>
      </c>
      <c r="B213" s="2" t="inlineStr">
        <is>
          <t>Marco Gestión Equidad</t>
        </is>
      </c>
      <c r="C213" s="2" t="inlineStr">
        <is>
          <t>10.1.4.1</t>
        </is>
      </c>
      <c r="D213" s="2" t="inlineStr">
        <is>
          <t>Factores de Indexación</t>
        </is>
      </c>
      <c r="E213" s="2" t="inlineStr"/>
      <c r="F213" s="2" t="inlineStr"/>
      <c r="G213" s="2" t="inlineStr">
        <is>
          <t>No existía.</t>
        </is>
      </c>
      <c r="H213" s="2" t="inlineStr">
        <is>
          <t>NUEVO. Estrategia de equidad para valores de zonas cuando beneficios/cargas se liquiden en años posteriores. Para Cesiones: valores zonas geoeconómicas homogéneas. Para Anuncio proyecto: IPC u otro DANE. Aplica licencia en firme hasta vigencia original.</t>
        </is>
      </c>
      <c r="I213" s="2" t="inlineStr"/>
      <c r="J213" s="2" t="inlineStr">
        <is>
          <t>Nuevo</t>
        </is>
      </c>
      <c r="K213" s="6" t="inlineStr">
        <is>
          <t>Fondo</t>
        </is>
      </c>
      <c r="L213" s="2" t="inlineStr"/>
      <c r="M213" s="2" t="inlineStr">
        <is>
          <t>Mecanismo para ajuste de valores en tiempo.</t>
        </is>
      </c>
    </row>
    <row r="214">
      <c r="A214" s="2" t="inlineStr">
        <is>
          <t>C. Sistemas Institucionales y de Gestión</t>
        </is>
      </c>
      <c r="B214" s="2" t="inlineStr">
        <is>
          <t>Marco Gestión Equidad</t>
        </is>
      </c>
      <c r="C214" s="2" t="inlineStr">
        <is>
          <t>10.1.4.2</t>
        </is>
      </c>
      <c r="D214" s="2" t="inlineStr">
        <is>
          <t>Factores de Convertibilidad y/o Equivalencia</t>
        </is>
      </c>
      <c r="E214" s="2" t="inlineStr"/>
      <c r="F214" s="2" t="inlineStr"/>
      <c r="G214" s="2" t="inlineStr">
        <is>
          <t>No existía.</t>
        </is>
      </c>
      <c r="H214" s="2" t="inlineStr">
        <is>
          <t>NUEVO. Mitiga impacto reajuste/actualización catastral. Determina equivalencia zona receptora-generadora. Para cesiones en otro sitio. Factor indexación en polígonos sin actualización catastral.</t>
        </is>
      </c>
      <c r="I214" s="2" t="inlineStr"/>
      <c r="J214" s="2" t="inlineStr">
        <is>
          <t>Nuevo</t>
        </is>
      </c>
      <c r="K214" s="6" t="inlineStr">
        <is>
          <t>Fondo</t>
        </is>
      </c>
      <c r="L214" s="2" t="inlineStr"/>
      <c r="M214" s="2" t="inlineStr">
        <is>
          <t>Flexibilidad para ubicación de cesiones.</t>
        </is>
      </c>
    </row>
    <row r="215">
      <c r="A215" s="2" t="inlineStr">
        <is>
          <t>C. Sistemas Institucionales y de Gestión</t>
        </is>
      </c>
      <c r="B215" s="2" t="inlineStr">
        <is>
          <t>Marco Gestión Equidad</t>
        </is>
      </c>
      <c r="C215" s="2" t="inlineStr">
        <is>
          <t>10.1.4.3</t>
        </is>
      </c>
      <c r="D215" s="2" t="inlineStr">
        <is>
          <t>Factores de Estímulo</t>
        </is>
      </c>
      <c r="E215" s="2" t="inlineStr"/>
      <c r="F215" s="2" t="inlineStr"/>
      <c r="G215" s="2" t="inlineStr">
        <is>
          <t>No existía.</t>
        </is>
      </c>
      <c r="H215" s="2" t="inlineStr">
        <is>
          <t>NUEVO. Promueve VIS/VIP y desarrollo zonas estratégicas (renovación, DOT). VIP 100%, VIS 100% cesiones; cumplimiento anticipado 5-10% mismo sitio, 7.5% otro sitio o dinero; plusvalía/valorización anticipada 5%. Aplicación diferenciada privilegiando cumplimiento anticipado.</t>
        </is>
      </c>
      <c r="I215" s="2" t="inlineStr"/>
      <c r="J215" s="2" t="inlineStr">
        <is>
          <t>Nuevo</t>
        </is>
      </c>
      <c r="K215" s="6" t="inlineStr">
        <is>
          <t>Fondo</t>
        </is>
      </c>
      <c r="L215" s="2" t="inlineStr"/>
      <c r="M215" s="2" t="inlineStr">
        <is>
          <t>Incentivos para desarrollos prioritarios.</t>
        </is>
      </c>
    </row>
    <row r="216">
      <c r="A216" s="2" t="inlineStr">
        <is>
          <t>C. Sistemas Institucionales y de Gestión</t>
        </is>
      </c>
      <c r="B216" s="2" t="inlineStr">
        <is>
          <t>Marco Gestión Equidad</t>
        </is>
      </c>
      <c r="C216" s="2" t="inlineStr">
        <is>
          <t>10.1.4.4</t>
        </is>
      </c>
      <c r="D216" s="2" t="inlineStr">
        <is>
          <t>Factores de Desestímulo</t>
        </is>
      </c>
      <c r="E216" s="2" t="inlineStr"/>
      <c r="F216" s="2" t="inlineStr"/>
      <c r="G216" s="2" t="inlineStr">
        <is>
          <t>No existía.</t>
        </is>
      </c>
      <c r="H216" s="2" t="inlineStr">
        <is>
          <t>NUEVO. Desmotiva cumplimiento cargas en dinero para que Distrito reciba suelo estratégico. Factor 15% cumplimiento dinero en cesiones urbanísticas. Aplicable a cargas impositivas previa concertación Hacienda.</t>
        </is>
      </c>
      <c r="I216" s="2" t="inlineStr"/>
      <c r="J216" s="2" t="inlineStr">
        <is>
          <t>Nuevo</t>
        </is>
      </c>
      <c r="K216" s="6" t="inlineStr">
        <is>
          <t>Fondo</t>
        </is>
      </c>
      <c r="L216" s="2" t="inlineStr"/>
      <c r="M216" s="2" t="inlineStr">
        <is>
          <t>Desestímulo de pagos en dinero.</t>
        </is>
      </c>
    </row>
    <row r="217">
      <c r="A217" s="2" t="inlineStr">
        <is>
          <t>C. Sistemas Institucionales y de Gestión</t>
        </is>
      </c>
      <c r="B217" s="2" t="inlineStr">
        <is>
          <t>Marco Gestión Equidad</t>
        </is>
      </c>
      <c r="C217" s="2" t="inlineStr">
        <is>
          <t>10.1.5</t>
        </is>
      </c>
      <c r="D217" s="2" t="inlineStr">
        <is>
          <t>Manejo de Cargas entre Ámbitos Territoriales</t>
        </is>
      </c>
      <c r="E217" s="2" t="inlineStr"/>
      <c r="F217" s="2" t="inlineStr"/>
      <c r="G217" s="2" t="inlineStr">
        <is>
          <t>Art. 447. Manejo de cargas en Áreas de Intervención Estratégica. Referencia a macroproyectos.</t>
        </is>
      </c>
      <c r="H217" s="2" t="inlineStr">
        <is>
          <t>Ampliación significativa. 7 ámbitos territoriales (art. 10 POT): Regionales/Metropolitanas, Distritales, Rurales, Borde Urbano, Borde Rural, Ladera Urbana, Río. Ámbitos de reparto como mecanismo técnico. DAP diseñará metodologías priorización basadas en datos.</t>
        </is>
      </c>
      <c r="I217" s="2" t="inlineStr"/>
      <c r="J217" s="2" t="inlineStr">
        <is>
          <t>Sustancial</t>
        </is>
      </c>
      <c r="K217" s="6" t="inlineStr">
        <is>
          <t>Fondo</t>
        </is>
      </c>
      <c r="L217" s="2" t="inlineStr"/>
      <c r="M217" s="2" t="inlineStr">
        <is>
          <t>Estructura territorial ampliada a 7 ámbitos.</t>
        </is>
      </c>
    </row>
    <row r="218">
      <c r="A218" s="2" t="inlineStr">
        <is>
          <t>C. Sistemas Institucionales y de Gestión</t>
        </is>
      </c>
      <c r="B218" s="2" t="inlineStr">
        <is>
          <t>Marco Gestión Equidad</t>
        </is>
      </c>
      <c r="C218" s="2" t="inlineStr">
        <is>
          <t>10.1.5.1</t>
        </is>
      </c>
      <c r="D218" s="2" t="inlineStr">
        <is>
          <t>Ámbitos de Reparto</t>
        </is>
      </c>
      <c r="E218" s="2" t="inlineStr"/>
      <c r="F218" s="2" t="inlineStr"/>
      <c r="G218" s="2" t="inlineStr">
        <is>
          <t>No existía como sección independiente.</t>
        </is>
      </c>
      <c r="H218" s="2" t="inlineStr">
        <is>
          <t>NUEVO. Mecanismo técnico para analizar por ámbitos dónde hay déficits infraestructura o menor capacidad soporte. Distribución recursos dinero por cargas urbanísticas según solidaridad social y territorial.</t>
        </is>
      </c>
      <c r="I218" s="2" t="inlineStr"/>
      <c r="J218" s="2" t="inlineStr">
        <is>
          <t>Nuevo</t>
        </is>
      </c>
      <c r="K218" s="6" t="inlineStr">
        <is>
          <t>Fondo</t>
        </is>
      </c>
      <c r="L218" s="2" t="inlineStr"/>
      <c r="M218" s="2" t="inlineStr">
        <is>
          <t>Herramienta de análisis por ámbito territorial.</t>
        </is>
      </c>
    </row>
    <row r="219">
      <c r="A219" s="2" t="inlineStr">
        <is>
          <t>C. Sistemas Institucionales y de Gestión</t>
        </is>
      </c>
      <c r="B219" s="2" t="inlineStr">
        <is>
          <t>Marco Gestión Equidad</t>
        </is>
      </c>
      <c r="C219" s="2" t="inlineStr">
        <is>
          <t>10.1.5.2</t>
        </is>
      </c>
      <c r="D219" s="2" t="inlineStr">
        <is>
          <t>Distribución General de Recursos</t>
        </is>
      </c>
      <c r="E219" s="2" t="inlineStr"/>
      <c r="F219" s="2" t="inlineStr"/>
      <c r="G219" s="2" t="inlineStr">
        <is>
          <t>Existía referencia general.</t>
        </is>
      </c>
      <c r="H219" s="2" t="inlineStr">
        <is>
          <t>Desarrollo detallado por ámbito: REGIONAL (AIE MedRío, MedTransversalidades, MedBordes); DISTRITAL; RURAL (UPR, Distrito Rural Campesino); BORDE URBANO (MIB); BORDE RURAL (Cinturón Verde); TRANSVERSALIDADES; LADERA (corredores verdes, PUI); RÍO (Parques del Río, VIP/VIS, equipamientos).</t>
        </is>
      </c>
      <c r="I219" s="2" t="inlineStr"/>
      <c r="J219" s="2" t="inlineStr">
        <is>
          <t>Sustancial</t>
        </is>
      </c>
      <c r="K219" s="6" t="inlineStr">
        <is>
          <t>Fondo</t>
        </is>
      </c>
      <c r="L219" s="2" t="inlineStr"/>
      <c r="M219" s="2" t="inlineStr">
        <is>
          <t>Mapa de prioridades por cada ámbito.</t>
        </is>
      </c>
    </row>
    <row r="220">
      <c r="A220" s="2" t="inlineStr">
        <is>
          <t>C. Sistemas Institucionales y de Gestión</t>
        </is>
      </c>
      <c r="B220" s="2" t="inlineStr">
        <is>
          <t>Marco Gestión Equidad</t>
        </is>
      </c>
      <c r="C220" s="2" t="inlineStr">
        <is>
          <t>10.1.5.3.1</t>
        </is>
      </c>
      <c r="D220" s="2" t="inlineStr">
        <is>
          <t>Lineamientos para reparto en AIEs</t>
        </is>
      </c>
      <c r="E220" s="2" t="inlineStr"/>
      <c r="F220" s="2" t="inlineStr"/>
      <c r="G220" s="2" t="inlineStr">
        <is>
          <t>Art. 448. Lineamientos generales para reparto en Macroproyectos.</t>
        </is>
      </c>
      <c r="H220" s="2" t="inlineStr">
        <is>
          <t>Referencia de Macroproyectos→AIEs. AIE MedRío: asumirán financiación cargas Parques del Río por capacidad aporte y plusvalías; excedentes trasladables borde urbano-rural. AIEs Borde: receptoras de aportes donde se configuren beneficios.</t>
        </is>
      </c>
      <c r="I220" s="2" t="inlineStr"/>
      <c r="J220" s="2" t="inlineStr">
        <is>
          <t>Sustancial</t>
        </is>
      </c>
      <c r="K220" s="6" t="inlineStr">
        <is>
          <t>Fondo</t>
        </is>
      </c>
      <c r="L220" s="2" t="inlineStr"/>
      <c r="M220" s="2" t="inlineStr">
        <is>
          <t>Reconfiguración de AIEs como ámbitos de reparto.</t>
        </is>
      </c>
    </row>
    <row r="221">
      <c r="A221" s="2" t="inlineStr">
        <is>
          <t>C. Sistemas Institucionales y de Gestión</t>
        </is>
      </c>
      <c r="B221" s="2" t="inlineStr">
        <is>
          <t>Marco Gestión Equidad</t>
        </is>
      </c>
      <c r="C221" s="2" t="inlineStr">
        <is>
          <t>10.1.5.3.2</t>
        </is>
      </c>
      <c r="D221" s="2" t="inlineStr">
        <is>
          <t>Sistema en AIE MEDRío</t>
        </is>
      </c>
      <c r="E221" s="2" t="inlineStr"/>
      <c r="F221" s="2" t="inlineStr"/>
      <c r="G221" s="2" t="inlineStr">
        <is>
          <t>Art. 449. Sistema de gestión en macroproyectos del Río Medellín.</t>
        </is>
      </c>
      <c r="H221" s="2" t="inlineStr">
        <is>
          <t>Referencia Macroproyectos→AIE MEDRío. Cargas: valorización, concesión, plusvalía. Dotaciones locales: aportes renovación y consolidación. Macroproyectos pueden modificar modelos ocupación instrumentos 3er nivel. Cuatro escalas reparto: ciudad, general macroproyecto, plan parcial, unidad actuación. Anuncio proyecto obligatorio. Plusvalías (Dec. 1163/2021). VIP es carga, VIS no.</t>
        </is>
      </c>
      <c r="I221" s="2" t="inlineStr"/>
      <c r="J221" s="2" t="inlineStr">
        <is>
          <t>Sustancial</t>
        </is>
      </c>
      <c r="K221" s="6" t="inlineStr">
        <is>
          <t>Fondo</t>
        </is>
      </c>
      <c r="L221" s="2" t="inlineStr"/>
      <c r="M221" s="2" t="inlineStr">
        <is>
          <t>VIP como carga urbanística; actualización normativa.</t>
        </is>
      </c>
    </row>
    <row r="222">
      <c r="A222" s="2" t="inlineStr">
        <is>
          <t>C. Sistemas Institucionales y de Gestión</t>
        </is>
      </c>
      <c r="B222" s="2" t="inlineStr">
        <is>
          <t>Marco Gestión Equidad</t>
        </is>
      </c>
      <c r="C222" s="2" t="inlineStr">
        <is>
          <t>10.1.5.3.3</t>
        </is>
      </c>
      <c r="D222" s="2" t="inlineStr">
        <is>
          <t>Sistema en AIE Borde Urbano-Rural y Transversalidades</t>
        </is>
      </c>
      <c r="E222" s="2" t="inlineStr"/>
      <c r="F222" s="2" t="inlineStr"/>
      <c r="G222" s="2" t="inlineStr">
        <is>
          <t>Art. 450. Sistema de gestión en macroproyectos del Borde Urbano-Borde Rural y Ejes Trasversales.</t>
        </is>
      </c>
      <c r="H222" s="2" t="inlineStr">
        <is>
          <t>Cambio a AIE de ámbitos. Receptoras de aportes otras AIEs. Planes Maestros API mantienen disposiciones. Planes parciales expansión mantienen norma vigencia. Territorios MIB financiados venta derechos construcción, transferencia cesiones ladera, plusvalías y presupuesto público.</t>
        </is>
      </c>
      <c r="I222" s="2" t="inlineStr"/>
      <c r="J222" s="2" t="inlineStr">
        <is>
          <t>Sustancial</t>
        </is>
      </c>
      <c r="K222" s="6" t="inlineStr">
        <is>
          <t>Fondo</t>
        </is>
      </c>
      <c r="L222" s="2" t="inlineStr"/>
      <c r="M222" s="2" t="inlineStr">
        <is>
          <t>Ampliación de mecanismos de financiación.</t>
        </is>
      </c>
    </row>
    <row r="223">
      <c r="A223" s="2" t="inlineStr">
        <is>
          <t>C. Sistemas Institucionales y de Gestión</t>
        </is>
      </c>
      <c r="B223" s="2" t="inlineStr">
        <is>
          <t>Marco Gestión Equidad</t>
        </is>
      </c>
      <c r="C223" s="2" t="inlineStr">
        <is>
          <t>10.1.5.4</t>
        </is>
      </c>
      <c r="D223" s="2" t="inlineStr">
        <is>
          <t>Sistema en Ámbitos de Ladera</t>
        </is>
      </c>
      <c r="E223" s="2" t="inlineStr"/>
      <c r="F223" s="2" t="inlineStr"/>
      <c r="G223" s="2" t="inlineStr">
        <is>
          <t>Art. 451. Sistema de gestión en ámbitos de ladera.</t>
        </is>
      </c>
      <c r="H223" s="2" t="inlineStr">
        <is>
          <t>Precisiones. Cesiones proyectos lote a lote en consolidación ladera se compensarán en dinero para inversión sistemas locales espacio público y equipamientos. Complementados PUI Ámbito Ladera y PLRU en MIB. Cambio 'compensados'→'pagados'.</t>
        </is>
      </c>
      <c r="I223" s="2" t="inlineStr"/>
      <c r="J223" s="2" t="inlineStr">
        <is>
          <t>Sustancial</t>
        </is>
      </c>
      <c r="K223" s="6" t="inlineStr">
        <is>
          <t>Fondo</t>
        </is>
      </c>
      <c r="L223" s="2" t="inlineStr"/>
      <c r="M223" s="2" t="inlineStr">
        <is>
          <t>Precisión de mecanismo de pago en dinero.</t>
        </is>
      </c>
    </row>
    <row r="224">
      <c r="A224" s="2" t="inlineStr">
        <is>
          <t>C. Sistemas Institucionales y de Gestión</t>
        </is>
      </c>
      <c r="B224" s="2" t="inlineStr">
        <is>
          <t>Marco Gestión Equidad</t>
        </is>
      </c>
      <c r="C224" s="2" t="inlineStr">
        <is>
          <t>10.1.5.5</t>
        </is>
      </c>
      <c r="D224" s="2" t="inlineStr">
        <is>
          <t>Sistema en Ámbito Rural</t>
        </is>
      </c>
      <c r="E224" s="2" t="inlineStr"/>
      <c r="F224" s="2" t="inlineStr"/>
      <c r="G224" s="2" t="inlineStr">
        <is>
          <t>Art. 452. Sistema en Rural. Art. 453. Sistema en Suburbano (separados).</t>
        </is>
      </c>
      <c r="H224" s="2" t="inlineStr">
        <is>
          <t>DMI-DVARC y reservas: financiados instrumentos SINA (PSA, Certificados Incentivo Forestal, bonos carbono). Distrito puede destinar cargas urbanas para compra terrenos EEP rural. Transferencia cesiones parcelación campestre a áreas prioritarias. Autosostenibles beneficiarias PSA. UPR como instrumento detalle. Centros poblados: esquema autosostenible. Art. 453 ELIMINADO (absorbido).</t>
        </is>
      </c>
      <c r="I224" s="2" t="inlineStr"/>
      <c r="J224" s="2" t="inlineStr">
        <is>
          <t>Sustancial + Eliminado</t>
        </is>
      </c>
      <c r="K224" s="6" t="inlineStr">
        <is>
          <t>Fondo</t>
        </is>
      </c>
      <c r="L224" s="2" t="inlineStr"/>
      <c r="M224" s="2" t="inlineStr">
        <is>
          <t>Fusión de ámbitos rural y suburbano.</t>
        </is>
      </c>
    </row>
    <row r="225">
      <c r="A225" s="2" t="inlineStr">
        <is>
          <t>C. Sistemas Institucionales y de Gestión</t>
        </is>
      </c>
      <c r="B225" s="2" t="inlineStr">
        <is>
          <t>Planificación Complementaria</t>
        </is>
      </c>
      <c r="C225" s="2" t="inlineStr">
        <is>
          <t>10.1.6.1</t>
        </is>
      </c>
      <c r="D225" s="2" t="inlineStr">
        <is>
          <t>Generalidades del Subsistema</t>
        </is>
      </c>
      <c r="E225" s="2" t="inlineStr"/>
      <c r="F225" s="2" t="inlineStr"/>
      <c r="G225" s="2" t="inlineStr">
        <is>
          <t>3 subsistemas sin clasificación por clases</t>
        </is>
      </c>
      <c r="H225" s="2" t="inlineStr">
        <is>
          <t>SUSTITUIDO: Clasificación en 2 clases: i) Instrumentos de Planificación Territorial (decreto), ii) Instrumentos de Planificación para la Gestión Urbanística (resolución). Jerarquía: POT (1er nivel), Macroproyectos/PRI/DRC/PUIAL (2do nivel), PP/PLRMH/PM_API/UPR/PEMP (3er nivel)</t>
        </is>
      </c>
      <c r="I225" s="2" t="inlineStr"/>
      <c r="J225" s="2" t="inlineStr">
        <is>
          <t>SUSTANCIAL</t>
        </is>
      </c>
      <c r="K225" s="6" t="inlineStr">
        <is>
          <t>Fondo</t>
        </is>
      </c>
      <c r="L225" s="2" t="inlineStr"/>
      <c r="M225" s="2" t="inlineStr"/>
    </row>
    <row r="226">
      <c r="A226" s="2" t="inlineStr">
        <is>
          <t>C. Sistemas Institucionales y de Gestión</t>
        </is>
      </c>
      <c r="B226" s="2" t="inlineStr">
        <is>
          <t>Planificación Complementaria</t>
        </is>
      </c>
      <c r="C226" s="2" t="inlineStr">
        <is>
          <t>10.1.6.2</t>
        </is>
      </c>
      <c r="D226" s="2" t="inlineStr">
        <is>
          <t>Macroproyectos</t>
        </is>
      </c>
      <c r="E226" s="2" t="inlineStr"/>
      <c r="F226" s="2" t="inlineStr"/>
      <c r="G226" s="2" t="inlineStr">
        <is>
          <t>Arts. 455-462. Definición confusa con Macroproyectos de Interés Social Nacional. Alcances redundantes.</t>
        </is>
      </c>
      <c r="H226" s="2" t="inlineStr">
        <is>
          <t>Definición precisa: Art. 114 Ley 388. Clasificación por AIE (MEDRío, MEDBorde, MEDTransversalidades). Etapas del macroproyecto definidas. Disposiciones de servicios públicos y gestión trasladadas a Sistema Participativo. No dependencia de instrumentos 3er nivel.</t>
        </is>
      </c>
      <c r="I226" s="2" t="inlineStr"/>
      <c r="J226" s="2" t="inlineStr">
        <is>
          <t>SUSTANCIAL</t>
        </is>
      </c>
      <c r="K226" s="6" t="inlineStr">
        <is>
          <t>Fondo</t>
        </is>
      </c>
      <c r="L226" s="2" t="inlineStr"/>
      <c r="M226" s="2" t="inlineStr">
        <is>
          <t>Instrumento 2do nivel</t>
        </is>
      </c>
    </row>
    <row r="227">
      <c r="A227" s="2" t="inlineStr">
        <is>
          <t>C. Sistemas Institucionales y de Gestión</t>
        </is>
      </c>
      <c r="B227" s="2" t="inlineStr">
        <is>
          <t>Planificación Complementaria</t>
        </is>
      </c>
      <c r="C227" s="2" t="inlineStr">
        <is>
          <t>10.1.6.3</t>
        </is>
      </c>
      <c r="D227" s="2" t="inlineStr">
        <is>
          <t>Planes Parciales</t>
        </is>
      </c>
      <c r="E227" s="2" t="inlineStr"/>
      <c r="F227" s="2" t="inlineStr"/>
      <c r="G227" s="2" t="inlineStr">
        <is>
          <t>Arts. 463-464. Tipos: Desarrollo, Renovación Urbana.</t>
        </is>
      </c>
      <c r="H227" s="2" t="inlineStr">
        <is>
          <t>SUSTITUIDO: Nuevos tipos: PP de Operación Urbana Especial (5,000-50,000 m²), PP de Mejoramiento Integral en Suelo de Expansión. PP Renovación por etapas. Vigencia y modificación sustituidos. Inventario actualizado con estado.</t>
        </is>
      </c>
      <c r="I227" s="2" t="inlineStr"/>
      <c r="J227" s="2" t="inlineStr">
        <is>
          <t>SUSTANCIAL</t>
        </is>
      </c>
      <c r="K227" s="6" t="inlineStr">
        <is>
          <t>Fondo</t>
        </is>
      </c>
      <c r="L227" s="2" t="inlineStr"/>
      <c r="M227" s="2" t="inlineStr">
        <is>
          <t>Instrumento 3er nivel</t>
        </is>
      </c>
    </row>
    <row r="228">
      <c r="A228" s="2" t="inlineStr">
        <is>
          <t>C. Sistemas Institucionales y de Gestión</t>
        </is>
      </c>
      <c r="B228" s="2" t="inlineStr">
        <is>
          <t>Planificación Complementaria</t>
        </is>
      </c>
      <c r="C228" s="2" t="inlineStr">
        <is>
          <t>10.1.6.4</t>
        </is>
      </c>
      <c r="D228" s="2" t="inlineStr">
        <is>
          <t>PLRMH (antes PLRU)</t>
        </is>
      </c>
      <c r="E228" s="2" t="inlineStr"/>
      <c r="F228" s="2" t="inlineStr"/>
      <c r="G228" s="2" t="inlineStr">
        <is>
          <t>Arts. 465-468. Planes de Legalización y Regularización Urbanística. Limitados al suelo urbano.</t>
        </is>
      </c>
      <c r="H228" s="2" t="inlineStr">
        <is>
          <t>SUSTITUIDO: Nuevo nombre: Planes de Legalización, Regularización y Mejoramiento del Hábitat. Ampliación a suelo rural (borde urbano-rural). Articulación con Decreto 1470/2024 (Barrios de Paz). Área de planificación puede diferir del polígono. Múltiples actores como iniciadores.</t>
        </is>
      </c>
      <c r="I228" s="2" t="inlineStr"/>
      <c r="J228" s="2" t="inlineStr">
        <is>
          <t>SUSTANCIAL</t>
        </is>
      </c>
      <c r="K228" s="6" t="inlineStr">
        <is>
          <t>Fondo</t>
        </is>
      </c>
      <c r="L228" s="2" t="inlineStr"/>
      <c r="M228" s="2" t="inlineStr">
        <is>
          <t>Instrumento 3er nivel</t>
        </is>
      </c>
    </row>
    <row r="229">
      <c r="A229" s="2" t="inlineStr">
        <is>
          <t>C. Sistemas Institucionales y de Gestión</t>
        </is>
      </c>
      <c r="B229" s="2" t="inlineStr">
        <is>
          <t>Planificación Complementaria</t>
        </is>
      </c>
      <c r="C229" s="2" t="inlineStr">
        <is>
          <t>10.1.6.5</t>
        </is>
      </c>
      <c r="D229" s="2" t="inlineStr">
        <is>
          <t>PM_API (Planes Maestros)</t>
        </is>
      </c>
      <c r="E229" s="2" t="inlineStr"/>
      <c r="F229" s="2" t="inlineStr"/>
      <c r="G229" s="2" t="inlineStr">
        <is>
          <t>Arts. 469-471. Definición genérica sin diferenciación por vocación.</t>
        </is>
      </c>
      <c r="H229" s="2" t="inlineStr">
        <is>
          <t>SUSTITUIDO: Clasificación por vocación de API. Pueden extender área de planificación más allá del polígono API (con autorización DAP). Inventario completo actualizado. Alcances normativos detallados.</t>
        </is>
      </c>
      <c r="I229" s="2" t="inlineStr"/>
      <c r="J229" s="2" t="inlineStr">
        <is>
          <t>SUSTANCIAL</t>
        </is>
      </c>
      <c r="K229" s="6" t="inlineStr">
        <is>
          <t>Fondo</t>
        </is>
      </c>
      <c r="L229" s="2" t="inlineStr"/>
      <c r="M229" s="2" t="inlineStr">
        <is>
          <t>Instrumento 3er nivel</t>
        </is>
      </c>
    </row>
    <row r="230">
      <c r="A230" s="2" t="inlineStr">
        <is>
          <t>C. Sistemas Institucionales y de Gestión</t>
        </is>
      </c>
      <c r="B230" s="2" t="inlineStr">
        <is>
          <t>Planificación Complementaria</t>
        </is>
      </c>
      <c r="C230" s="2" t="inlineStr">
        <is>
          <t>10.1.6.6</t>
        </is>
      </c>
      <c r="D230" s="2" t="inlineStr">
        <is>
          <t>UPR (Unidades de Planificación Rural)</t>
        </is>
      </c>
      <c r="E230" s="2" t="inlineStr"/>
      <c r="F230" s="2" t="inlineStr"/>
      <c r="G230" s="2" t="inlineStr">
        <is>
          <t>Arts. 472-476. Incluían UPR de Sostenibilidad Ambiental. Sin parámetros diferenciales.</t>
        </is>
      </c>
      <c r="H230" s="2" t="inlineStr">
        <is>
          <t>SUSTITUIDO: Eliminación de UPR de Sostenibilidad Ambiental (absorbida por instrumento de 2do nivel). Aplicación en centros poblados y consolidación suburbana. Articulación con Decreto 1470/2024 (Planes de Gestión del Hábitat). 1 UPR adoptada (El Llano-San Cristóbal).</t>
        </is>
      </c>
      <c r="I230" s="2" t="inlineStr"/>
      <c r="J230" s="2" t="inlineStr">
        <is>
          <t>SUSTANCIAL</t>
        </is>
      </c>
      <c r="K230" s="6" t="inlineStr">
        <is>
          <t>Fondo</t>
        </is>
      </c>
      <c r="L230" s="2" t="inlineStr"/>
      <c r="M230" s="2" t="inlineStr">
        <is>
          <t>Instrumento 3er nivel; Una categoría eliminada</t>
        </is>
      </c>
    </row>
    <row r="231">
      <c r="A231" s="2" t="inlineStr">
        <is>
          <t>C. Sistemas Institucionales y de Gestión</t>
        </is>
      </c>
      <c r="B231" s="2" t="inlineStr">
        <is>
          <t>Planificación Complementaria</t>
        </is>
      </c>
      <c r="C231" s="2" t="inlineStr">
        <is>
          <t>10.1.6.7</t>
        </is>
      </c>
      <c r="D231" s="2" t="inlineStr">
        <is>
          <t>PEMP (Planes Especiales de Manejo y Protección del Patrimonio)</t>
        </is>
      </c>
      <c r="E231" s="2" t="inlineStr"/>
      <c r="F231" s="2" t="inlineStr"/>
      <c r="G231" s="2" t="inlineStr">
        <is>
          <t>Arts. 477-478. Desarticulado con criterios del Ministerio.</t>
        </is>
      </c>
      <c r="H231" s="2" t="inlineStr">
        <is>
          <t>SUSTITUIDO: Actualización per Decreto 2350/2019. Nueva clasificación: Grupo Arquitectónico, Grupo Urbano, Bienes Muebles, Paisajes Culturales. Condiciones para formulación obligatoria. Conceptos de paisaje histórico y patrimonios integrados. Vivienda de interés cultural.</t>
        </is>
      </c>
      <c r="I231" s="2" t="inlineStr"/>
      <c r="J231" s="2" t="inlineStr">
        <is>
          <t>SUSTANCIAL</t>
        </is>
      </c>
      <c r="K231" s="6" t="inlineStr">
        <is>
          <t>Fondo</t>
        </is>
      </c>
      <c r="L231" s="2" t="inlineStr"/>
      <c r="M231" s="2" t="inlineStr">
        <is>
          <t>Instrumento 3er nivel</t>
        </is>
      </c>
    </row>
    <row r="232">
      <c r="A232" s="2" t="inlineStr">
        <is>
          <t>C. Sistemas Institucionales y de Gestión</t>
        </is>
      </c>
      <c r="B232" s="2" t="inlineStr">
        <is>
          <t>Planificación Complementaria</t>
        </is>
      </c>
      <c r="C232" s="2" t="inlineStr">
        <is>
          <t>10.1.6.8</t>
        </is>
      </c>
      <c r="D232" s="2" t="inlineStr">
        <is>
          <t>PUIAL (antes PUI)</t>
        </is>
      </c>
      <c r="E232" s="2" t="inlineStr"/>
      <c r="F232" s="2" t="inlineStr"/>
      <c r="G232" s="2" t="inlineStr">
        <is>
          <t>Arts. 479-480. Proyecto Urbano Integral del Ámbito Ladera. Debilidades conceptuales.</t>
        </is>
      </c>
      <c r="H232" s="2" t="inlineStr">
        <is>
          <t>SUSTITUIDO: Renombrado Planes Proyecto Urbano Integrales del Ámbito Ladera. Reclasificado como 2do nivel (antes implícito 3er nivel). Foco en barrios y centralidades fuera de AIEs. Guía Metodológica para delimitación. Iniciativa comunitaria o distrital.</t>
        </is>
      </c>
      <c r="I232" s="2" t="inlineStr"/>
      <c r="J232" s="2" t="inlineStr">
        <is>
          <t>SUSTANCIAL</t>
        </is>
      </c>
      <c r="K232" s="6" t="inlineStr">
        <is>
          <t>Fondo</t>
        </is>
      </c>
      <c r="L232" s="2" t="inlineStr"/>
      <c r="M232" s="2" t="inlineStr">
        <is>
          <t>Instrumento 2do nivel; Reclasificado</t>
        </is>
      </c>
    </row>
    <row r="233">
      <c r="A233" s="2" t="inlineStr">
        <is>
          <t>C. Sistemas Institucionales y de Gestión</t>
        </is>
      </c>
      <c r="B233" s="2" t="inlineStr">
        <is>
          <t>Planificación Complementaria</t>
        </is>
      </c>
      <c r="C233" s="2" t="inlineStr">
        <is>
          <t>10.1.6.9</t>
        </is>
      </c>
      <c r="D233" s="2" t="inlineStr">
        <is>
          <t>PRI (Planes Rurales Integrales)</t>
        </is>
      </c>
      <c r="E233" s="2" t="inlineStr"/>
      <c r="F233" s="2" t="inlineStr"/>
      <c r="G233" s="2" t="inlineStr">
        <is>
          <t>No existía. Contenido parcial en DRC.</t>
        </is>
      </c>
      <c r="H233" s="2" t="inlineStr">
        <is>
          <t>NUEVO instrumento de 2do nivel. 1 PRI por corregimiento (5 en total). Enfoque: sostenibilidad ambiental, cultural, habitacional, productiva. Articulación con AIE Borde Urbano-Rural y Transversalidades.</t>
        </is>
      </c>
      <c r="I233" s="2" t="inlineStr"/>
      <c r="J233" s="2" t="inlineStr">
        <is>
          <t>NUEVO</t>
        </is>
      </c>
      <c r="K233" s="6" t="inlineStr">
        <is>
          <t>Fondo</t>
        </is>
      </c>
      <c r="L233" s="2" t="inlineStr"/>
      <c r="M233" s="2" t="inlineStr">
        <is>
          <t>Instrumento 2do nivel</t>
        </is>
      </c>
    </row>
    <row r="234">
      <c r="A234" s="2" t="inlineStr">
        <is>
          <t>C. Sistemas Institucionales y de Gestión</t>
        </is>
      </c>
      <c r="B234" s="2" t="inlineStr">
        <is>
          <t>Planificación Complementaria</t>
        </is>
      </c>
      <c r="C234" s="2" t="inlineStr">
        <is>
          <t>10.1.6.10</t>
        </is>
      </c>
      <c r="D234" s="2" t="inlineStr">
        <is>
          <t>DRC (Distrito Rural Campesino)</t>
        </is>
      </c>
      <c r="E234" s="2" t="inlineStr"/>
      <c r="F234" s="2" t="inlineStr"/>
      <c r="G234" s="2" t="inlineStr">
        <is>
          <t>Art. existente. Instrumento de planificación del ámbito rural.</t>
        </is>
      </c>
      <c r="H234" s="2" t="inlineStr">
        <is>
          <t>Mantenido con ajustes. Se complementa con los PRI como instrumento de mayor detalle por corregimiento.</t>
        </is>
      </c>
      <c r="I234" s="2" t="inlineStr"/>
      <c r="J234" s="2" t="inlineStr">
        <is>
          <t>SUSTANCIAL</t>
        </is>
      </c>
      <c r="K234" s="6" t="inlineStr">
        <is>
          <t>Fondo</t>
        </is>
      </c>
      <c r="L234" s="2" t="inlineStr"/>
      <c r="M234" s="2" t="inlineStr">
        <is>
          <t>Instrumento 2do nivel</t>
        </is>
      </c>
    </row>
    <row r="235">
      <c r="A235" s="2" t="inlineStr">
        <is>
          <t>C. Sistemas Institucionales y de Gestión</t>
        </is>
      </c>
      <c r="B235" s="2" t="inlineStr">
        <is>
          <t>Planificación Complementaria</t>
        </is>
      </c>
      <c r="C235" s="2" t="inlineStr">
        <is>
          <t>10.1.6.14</t>
        </is>
      </c>
      <c r="D235" s="2" t="inlineStr">
        <is>
          <t>Planes de Implantación</t>
        </is>
      </c>
      <c r="E235" s="2" t="inlineStr"/>
      <c r="F235" s="2" t="inlineStr"/>
      <c r="G235" s="2" t="inlineStr">
        <is>
          <t>No existían como instrumento independiente.</t>
        </is>
      </c>
      <c r="H235" s="2" t="inlineStr">
        <is>
          <t>NUEVO: Incorporados al subsistema de planificación complementaria.</t>
        </is>
      </c>
      <c r="I235" s="2" t="inlineStr"/>
      <c r="J235" s="2" t="inlineStr">
        <is>
          <t>NUEVO</t>
        </is>
      </c>
      <c r="K235" s="6" t="inlineStr">
        <is>
          <t>Fondo</t>
        </is>
      </c>
      <c r="L235" s="2" t="inlineStr"/>
      <c r="M235" s="2" t="inlineStr"/>
    </row>
    <row r="236">
      <c r="A236" s="2" t="inlineStr">
        <is>
          <t>C. Sistemas Institucionales y de Gestión</t>
        </is>
      </c>
      <c r="B236" s="2" t="inlineStr">
        <is>
          <t>Intervención del Suelo</t>
        </is>
      </c>
      <c r="C236" s="2" t="inlineStr">
        <is>
          <t>10.1.7.1 Generalidades</t>
        </is>
      </c>
      <c r="D236" s="2" t="inlineStr"/>
      <c r="E236" s="2" t="inlineStr">
        <is>
          <t>10.1.7.1 Generalidades</t>
        </is>
      </c>
      <c r="F236" s="2" t="inlineStr"/>
      <c r="G236" s="2" t="inlineStr">
        <is>
          <t>Definición general del subsistema como conjunto de instrumentos para viabilizar ejecución POT y reparto equitativo de cargas y beneficios. Lista enunciativa de 8 instrumentos (Art. 487).</t>
        </is>
      </c>
      <c r="H236" s="2" t="inlineStr">
        <is>
          <t>Se mantiene la definición pero se amplía con principios rectores, clasificación funcional en 3 categorías, articulación explícita con subsistemas de planificación y financiación, y conexión con SGET.</t>
        </is>
      </c>
      <c r="I236" s="2" t="inlineStr"/>
      <c r="J236" s="2" t="inlineStr">
        <is>
          <t>SUSTANCIAL</t>
        </is>
      </c>
      <c r="K236" s="6" t="inlineStr">
        <is>
          <t>Fondo</t>
        </is>
      </c>
      <c r="L236" s="2" t="inlineStr"/>
      <c r="M236" s="2" t="inlineStr">
        <is>
          <t>Paso de enfoque descriptivo a operativo. Nueva clasificación funcional.</t>
        </is>
      </c>
    </row>
    <row r="237">
      <c r="A237" s="2" t="inlineStr">
        <is>
          <t>C. Sistemas Institucionales y de Gestión</t>
        </is>
      </c>
      <c r="B237" s="2" t="inlineStr">
        <is>
          <t>Intervención del Suelo</t>
        </is>
      </c>
      <c r="C237" s="2" t="inlineStr">
        <is>
          <t>10.1.7.1.1 Principios del Subsistema (NUEVO)</t>
        </is>
      </c>
      <c r="D237" s="2" t="inlineStr"/>
      <c r="E237" s="2" t="inlineStr">
        <is>
          <t>10.1.7.1.1 Principios del Subsistema (NUEVO)</t>
        </is>
      </c>
      <c r="F237" s="2" t="inlineStr"/>
      <c r="G237" s="2" t="inlineStr">
        <is>
          <t>No existía. Los instrumentos se listaban sin principios rectores.</t>
        </is>
      </c>
      <c r="H237" s="2" t="inlineStr">
        <is>
          <t>Se crean 4 principios: Equidad (distribución diferenciada cargas/beneficios, protección vulnerables), Concurrencia (aplicación simultánea y coordinada de instrumentos), Integralidad (articulación planificación-financiación-gestión), Transparencia (trazabilidad técnica y certidumbre procesal).</t>
        </is>
      </c>
      <c r="I237" s="2" t="inlineStr"/>
      <c r="J237" s="2" t="inlineStr">
        <is>
          <t>NUEVO</t>
        </is>
      </c>
      <c r="K237" s="6" t="inlineStr">
        <is>
          <t>Fondo</t>
        </is>
      </c>
      <c r="L237" s="2" t="inlineStr"/>
      <c r="M237" s="2" t="inlineStr">
        <is>
          <t>Fundamento axiológico para la operación del subsistema.</t>
        </is>
      </c>
    </row>
    <row r="238">
      <c r="A238" s="2" t="inlineStr">
        <is>
          <t>C. Sistemas Institucionales y de Gestión</t>
        </is>
      </c>
      <c r="B238" s="2" t="inlineStr">
        <is>
          <t>Intervención del Suelo</t>
        </is>
      </c>
      <c r="C238" s="2" t="inlineStr">
        <is>
          <t>10.1.7.2.1 Instrumentos para Adquisición Predial</t>
        </is>
      </c>
      <c r="D238" s="2" t="inlineStr"/>
      <c r="E238" s="2" t="inlineStr">
        <is>
          <t>10.1.7.2.1 Instrumentos para Adquisición Predial</t>
        </is>
      </c>
      <c r="F238" s="2" t="inlineStr"/>
      <c r="G238" s="2" t="inlineStr">
        <is>
          <t>No existía esta categorización. Los instrumentos de adquisición estaban dispersos en artículos individuales (Arts. 488, 489, 495, 498).</t>
        </is>
      </c>
      <c r="H238" s="2" t="inlineStr">
        <is>
          <t>Nueva categoría funcional que agrupa: Afectación por obra pública, Anuncio de proyecto, Enajenación voluntaria/forzosa/expropiación judicial/administrativa/concurrencia de terceros.</t>
        </is>
      </c>
      <c r="I238" s="2" t="inlineStr"/>
      <c r="J238" s="2" t="inlineStr">
        <is>
          <t>SUSTANCIAL</t>
        </is>
      </c>
      <c r="K238" s="6" t="inlineStr">
        <is>
          <t>Fondo</t>
        </is>
      </c>
      <c r="L238" s="2" t="inlineStr"/>
      <c r="M238" s="2" t="inlineStr">
        <is>
          <t>Reagrupación funcional con enfoque procedimental integrado.</t>
        </is>
      </c>
    </row>
    <row r="239">
      <c r="A239" s="2" t="inlineStr">
        <is>
          <t>C. Sistemas Institucionales y de Gestión</t>
        </is>
      </c>
      <c r="B239" s="2" t="inlineStr">
        <is>
          <t>Intervención del Suelo</t>
        </is>
      </c>
      <c r="C239" s="2" t="inlineStr">
        <is>
          <t>10.1.7.2.1.1 Afectación por obra pública</t>
        </is>
      </c>
      <c r="D239" s="2" t="inlineStr"/>
      <c r="E239" s="2" t="inlineStr">
        <is>
          <t>10.1.7.2.1.1 Afectación por obra pública</t>
        </is>
      </c>
      <c r="F239" s="2" t="inlineStr"/>
      <c r="G239" s="2" t="inlineStr">
        <is>
          <t>Art. 488 mencionaba afectación solo para metas de espacio público, ámbito reducido.</t>
        </is>
      </c>
      <c r="H239" s="2" t="inlineStr">
        <is>
          <t>Se amplía a todo tipo de obra pública (equipamientos, vivienda, saneamiento). Plazos: 3 años renovables hasta 6 (general), 9 años (vías), 12 años (infraestructura transporte mediano/largo plazo). Requiere inscripción folio matrícula. Obligación de apropiación presupuestal previa (Art. 122 Ley 388). Articulación con macroproyectos.</t>
        </is>
      </c>
      <c r="I239" s="2" t="inlineStr"/>
      <c r="J239" s="2" t="inlineStr">
        <is>
          <t>SUSTANCIAL</t>
        </is>
      </c>
      <c r="K239" s="6" t="inlineStr">
        <is>
          <t>Fondo</t>
        </is>
      </c>
      <c r="L239" s="2" t="inlineStr"/>
      <c r="M239" s="2" t="inlineStr">
        <is>
          <t>De ámbito restringido a instrumento con alcance pleno según norma nacional.</t>
        </is>
      </c>
    </row>
    <row r="240">
      <c r="A240" s="2" t="inlineStr">
        <is>
          <t>C. Sistemas Institucionales y de Gestión</t>
        </is>
      </c>
      <c r="B240" s="2" t="inlineStr">
        <is>
          <t>Intervención del Suelo</t>
        </is>
      </c>
      <c r="C240" s="2" t="inlineStr">
        <is>
          <t>10.1.7.2.1.2 Anuncio de proyecto, programa u obra</t>
        </is>
      </c>
      <c r="D240" s="2" t="inlineStr"/>
      <c r="E240" s="2" t="inlineStr">
        <is>
          <t>10.1.7.2.1.2 Anuncio de proyecto, programa u obra</t>
        </is>
      </c>
      <c r="F240" s="2" t="inlineStr"/>
      <c r="G240" s="2" t="inlineStr">
        <is>
          <t>Art. 489. Definición básica del instrumento para descontar plusvalor por anuncio.</t>
        </is>
      </c>
      <c r="H240" s="2" t="inlineStr">
        <is>
          <t>Se mantiene esencia pero se detalla: nueva fórmula para calcular plusvalor descontando externalidades (2 pasos), uso de mapa de zonas geoeconómicas para avalúos de referencia, vigencia ilimitada del anuncio, indexación anual de avalúos, prioridad para macroproyectos en AEI. Referencia a Decreto 2729/2012 y Art. 2.2.5.4.5 Decreto 1077/2015.</t>
        </is>
      </c>
      <c r="I240" s="2" t="inlineStr"/>
      <c r="J240" s="2" t="inlineStr">
        <is>
          <t>SUSTANCIAL</t>
        </is>
      </c>
      <c r="K240" s="6" t="inlineStr">
        <is>
          <t>Fondo</t>
        </is>
      </c>
      <c r="L240" s="2" t="inlineStr"/>
      <c r="M240" s="2" t="inlineStr">
        <is>
          <t>Innovación técnica: aislamiento del plusvalor específico de la obra vs. externalidades.</t>
        </is>
      </c>
    </row>
    <row r="241">
      <c r="A241" s="2" t="inlineStr">
        <is>
          <t>C. Sistemas Institucionales y de Gestión</t>
        </is>
      </c>
      <c r="B241" s="2" t="inlineStr">
        <is>
          <t>Intervención del Suelo</t>
        </is>
      </c>
      <c r="C241" s="2" t="inlineStr">
        <is>
          <t>10.1.7.2.1.3 Enajenación, expropiación y concurrencia</t>
        </is>
      </c>
      <c r="D241" s="2" t="inlineStr"/>
      <c r="E241" s="2" t="inlineStr">
        <is>
          <t>10.1.7.2.1.3 Enajenación, expropiación y concurrencia</t>
        </is>
      </c>
      <c r="F241" s="2" t="inlineStr"/>
      <c r="G241" s="2" t="inlineStr">
        <is>
          <t>Arts. 495, 498. Enajenación forzosa y voluntaria/expropiación en artículos separados, tratamiento parcial.</t>
        </is>
      </c>
      <c r="H241" s="2" t="inlineStr">
        <is>
          <t>Unificación en procedimiento integrado con 5 modalidades: enajenación voluntaria, enajenación forzosa, expropiación judicial (Art. 62 Ley 388), expropiación administrativa (Art. 63 Ley 388), concurrencia de terceros (51% propietarios UAU, Decreto 0199/2013). Indemnización (compensatoria/reparatoria/restitutiva). Declaratoria de urgencia y utilidad pública.</t>
        </is>
      </c>
      <c r="I241" s="2" t="inlineStr"/>
      <c r="J241" s="2" t="inlineStr">
        <is>
          <t>SUSTANCIAL</t>
        </is>
      </c>
      <c r="K241" s="6" t="inlineStr">
        <is>
          <t>Fondo</t>
        </is>
      </c>
      <c r="L241" s="2" t="inlineStr"/>
      <c r="M241" s="2" t="inlineStr">
        <is>
          <t>De artículos dispersos a procedimiento integrado con todas las modalidades.</t>
        </is>
      </c>
    </row>
    <row r="242">
      <c r="A242" s="2" t="inlineStr">
        <is>
          <t>C. Sistemas Institucionales y de Gestión</t>
        </is>
      </c>
      <c r="B242" s="2" t="inlineStr">
        <is>
          <t>Intervención del Suelo</t>
        </is>
      </c>
      <c r="C242" s="2" t="inlineStr">
        <is>
          <t>10.1.7.2.2.1 Bancos Inmobiliarios</t>
        </is>
      </c>
      <c r="D242" s="2" t="inlineStr"/>
      <c r="E242" s="2" t="inlineStr">
        <is>
          <t>10.1.7.2.2.1 Bancos Inmobiliarios</t>
        </is>
      </c>
      <c r="F242" s="2" t="inlineStr"/>
      <c r="G242" s="2" t="inlineStr">
        <is>
          <t>Art. 490. Definición como instrumento de intervención del suelo.</t>
        </is>
      </c>
      <c r="H242" s="2" t="inlineStr">
        <is>
          <t>Reclasificación como 'competencia operativa de gestión del suelo' delegable a EDU, ISVIMED, Metro, Agencia APP, FONVALMED. 7 funciones esenciales definidas (identificación, adquisición, administración patrimonio, reservas, destinación, integración instrumentos, soporte reasentamientos). Articulación obligatoria con SIT-POT, Sistema de Registro Único de Inmuebles, SGET.</t>
        </is>
      </c>
      <c r="I242" s="2" t="inlineStr"/>
      <c r="J242" s="2" t="inlineStr">
        <is>
          <t>SUSTANCIAL</t>
        </is>
      </c>
      <c r="K242" s="6" t="inlineStr">
        <is>
          <t>Fondo</t>
        </is>
      </c>
      <c r="L242" s="2" t="inlineStr"/>
      <c r="M242" s="2" t="inlineStr">
        <is>
          <t>Cambio de naturaleza jurídica: de instrumento a competencia operativa delegable.</t>
        </is>
      </c>
    </row>
    <row r="243">
      <c r="A243" s="2" t="inlineStr">
        <is>
          <t>C. Sistemas Institucionales y de Gestión</t>
        </is>
      </c>
      <c r="B243" s="2" t="inlineStr">
        <is>
          <t>Intervención del Suelo</t>
        </is>
      </c>
      <c r="C243" s="2" t="inlineStr">
        <is>
          <t>10.1.7.2.2.2 Derecho de preferencia</t>
        </is>
      </c>
      <c r="D243" s="2" t="inlineStr"/>
      <c r="E243" s="2" t="inlineStr">
        <is>
          <t>10.1.7.2.2.2 Derecho de preferencia</t>
        </is>
      </c>
      <c r="F243" s="2" t="inlineStr"/>
      <c r="G243" s="2" t="inlineStr">
        <is>
          <t>Arts. 491-492. Ámbito de aplicación restringido a ciertos fines.</t>
        </is>
      </c>
      <c r="H243" s="2" t="inlineStr">
        <is>
          <t>Se amplía ámbito: aplicable preferentemente a renovación urbana y mejoramiento integral. Plazos: 3 meses para ejercer + 6 meses para perfeccionar. Valor según mapa zonas geoeconómicas. Aplicación también a favor de propietarios/poseedores en polígonos de renovación. Conexión con VIP/VIS.</t>
        </is>
      </c>
      <c r="I243" s="2" t="inlineStr"/>
      <c r="J243" s="2" t="inlineStr">
        <is>
          <t>SUSTANCIAL</t>
        </is>
      </c>
      <c r="K243" s="6" t="inlineStr">
        <is>
          <t>Fondo</t>
        </is>
      </c>
      <c r="L243" s="2" t="inlineStr"/>
      <c r="M243" s="2" t="inlineStr">
        <is>
          <t>Ampliación de ámbito y procedimiento detallado.</t>
        </is>
      </c>
    </row>
    <row r="244">
      <c r="A244" s="2" t="inlineStr">
        <is>
          <t>C. Sistemas Institucionales y de Gestión</t>
        </is>
      </c>
      <c r="B244" s="2" t="inlineStr">
        <is>
          <t>Intervención del Suelo</t>
        </is>
      </c>
      <c r="C244" s="2" t="inlineStr">
        <is>
          <t>10.1.7.2.2.3 Desarrollo prioritario</t>
        </is>
      </c>
      <c r="D244" s="2" t="inlineStr"/>
      <c r="E244" s="2" t="inlineStr">
        <is>
          <t>10.1.7.2.2.3 Desarrollo prioritario</t>
        </is>
      </c>
      <c r="F244" s="2" t="inlineStr"/>
      <c r="G244" s="2" t="inlineStr">
        <is>
          <t>Arts. 493-494. Definición básica y listado de inmuebles.</t>
        </is>
      </c>
      <c r="H244" s="2" t="inlineStr">
        <is>
          <t>Se mantiene marco legal (Arts. 40, 52-57 Ley 388) pero se crean 4 criterios de selección (Uso, Norma, Afectaciones, Consideraciones). 600 predios potenciales identificados, 70 listados indicativamente. Plazos detallados (3 años expansión, 2 años urbano, 18 meses abandonados, +50% para UAU en PP). Prórroga hasta 50%. Procedimiento de enajenación forzosa en pública subasta. Impuestos progresivos previos.</t>
        </is>
      </c>
      <c r="I244" s="2" t="inlineStr"/>
      <c r="J244" s="2" t="inlineStr">
        <is>
          <t>SUSTANCIAL</t>
        </is>
      </c>
      <c r="K244" s="6" t="inlineStr">
        <is>
          <t>Fondo</t>
        </is>
      </c>
      <c r="L244" s="2" t="inlineStr"/>
      <c r="M244" s="2" t="inlineStr">
        <is>
          <t>De listado estático a sistema de identificación con criterios y base de datos.</t>
        </is>
      </c>
    </row>
    <row r="245">
      <c r="A245" s="2" t="inlineStr">
        <is>
          <t>C. Sistemas Institucionales y de Gestión</t>
        </is>
      </c>
      <c r="B245" s="2" t="inlineStr">
        <is>
          <t>Intervención del Suelo</t>
        </is>
      </c>
      <c r="C245" s="2" t="inlineStr">
        <is>
          <t>10.1.7.2.3.1 Reajuste de tierras/integración inmobiliaria</t>
        </is>
      </c>
      <c r="D245" s="2" t="inlineStr"/>
      <c r="E245" s="2" t="inlineStr">
        <is>
          <t>10.1.7.2.3.1 Reajuste de tierras/integración inmobiliaria</t>
        </is>
      </c>
      <c r="F245" s="2" t="inlineStr"/>
      <c r="G245" s="2" t="inlineStr">
        <is>
          <t>Arts. 496-497. Definición y procedimiento básico conforme Ley 388/1997.</t>
        </is>
      </c>
      <c r="H245" s="2" t="inlineStr">
        <is>
          <t>Se mantiene marco legal (Art. 44-47 Ley 388, Arts. 18-23 Decreto 2181/2006) pero se precisan 2 formas: con aprobación de plan parcial y posterior a plan parcial (51% superficie). Integración inmobiliaria por cooperación. Gestión asociada vía patrimonios autónomos/fiducias como alternativa. Articulación con macroproyectos.</t>
        </is>
      </c>
      <c r="I245" s="2" t="inlineStr"/>
      <c r="J245" s="2" t="inlineStr">
        <is>
          <t>FORMAL/SUSTANCIAL</t>
        </is>
      </c>
      <c r="K245" s="6" t="inlineStr">
        <is>
          <t>Fondo</t>
        </is>
      </c>
      <c r="L245" s="2" t="inlineStr"/>
      <c r="M245" s="2" t="inlineStr">
        <is>
          <t>Precisión procedimental y nuevas alternativas de gestión asociada.</t>
        </is>
      </c>
    </row>
    <row r="246">
      <c r="A246" s="2" t="inlineStr">
        <is>
          <t>C. Sistemas Institucionales y de Gestión</t>
        </is>
      </c>
      <c r="B246" s="2" t="inlineStr">
        <is>
          <t>Intervención del Suelo</t>
        </is>
      </c>
      <c r="C246" s="2" t="inlineStr">
        <is>
          <t>10.1.7.2.3.2 Modelos flexibles de gestión asociada</t>
        </is>
      </c>
      <c r="D246" s="2" t="inlineStr"/>
      <c r="E246" s="2" t="inlineStr">
        <is>
          <t>10.1.7.2.3.2 Modelos flexibles de gestión asociada</t>
        </is>
      </c>
      <c r="F246" s="2" t="inlineStr"/>
      <c r="G246" s="2" t="inlineStr">
        <is>
          <t>No existía.</t>
        </is>
      </c>
      <c r="H246" s="2" t="inlineStr">
        <is>
          <t>La Administración Distrital dispondrá en reglamentación específica modelos flexibles de gestión asociada para atender modalidades de renovación urbana del Subsistema de planificación complementaria.</t>
        </is>
      </c>
      <c r="I246" s="2" t="inlineStr"/>
      <c r="J246" s="2" t="inlineStr">
        <is>
          <t>NUEVO</t>
        </is>
      </c>
      <c r="K246" s="6" t="inlineStr">
        <is>
          <t>Fondo</t>
        </is>
      </c>
      <c r="L246" s="2" t="inlineStr"/>
      <c r="M246" s="2" t="inlineStr">
        <is>
          <t>Habilitación normativa para futura reglamentación de modelos innovadores.</t>
        </is>
      </c>
    </row>
    <row r="247">
      <c r="A247" s="2" t="inlineStr">
        <is>
          <t>C. Sistemas Institucionales y de Gestión</t>
        </is>
      </c>
      <c r="B247" s="2" t="inlineStr">
        <is>
          <t>Financiación</t>
        </is>
      </c>
      <c r="C247" s="2" t="inlineStr">
        <is>
          <t>10.1.8.1 Generalidades</t>
        </is>
      </c>
      <c r="D247" s="2" t="inlineStr"/>
      <c r="E247" s="2" t="inlineStr">
        <is>
          <t>10.1.8.1 Generalidades</t>
        </is>
      </c>
      <c r="F247" s="2" t="inlineStr"/>
      <c r="G247" s="2" t="inlineStr">
        <is>
          <t>Art. 499: Definición limitada del subsistema, enumeración básica de instrumentos</t>
        </is>
      </c>
      <c r="H247" s="2" t="inlineStr">
        <is>
          <t>Nueva definición ampliada: subsistema como conjunto de instrumentos, mecanismos y fuentes para movilizar capital. Portafolio organizado en 3 categorías: captura de valor, compensaciones, fuentes alternativas</t>
        </is>
      </c>
      <c r="I247" s="2" t="inlineStr"/>
      <c r="J247" s="2" t="inlineStr">
        <is>
          <t>SUSTANCIAL</t>
        </is>
      </c>
      <c r="K247" s="6" t="inlineStr">
        <is>
          <t>Fondo</t>
        </is>
      </c>
      <c r="L247" s="2" t="inlineStr"/>
      <c r="M247" s="2" t="inlineStr">
        <is>
          <t>De definición escueta a marco conceptual integral con principio de reparto equitativo como eje</t>
        </is>
      </c>
    </row>
    <row r="248">
      <c r="A248" s="2" t="inlineStr">
        <is>
          <t>C. Sistemas Institucionales y de Gestión</t>
        </is>
      </c>
      <c r="B248" s="2" t="inlineStr">
        <is>
          <t>Financiación</t>
        </is>
      </c>
      <c r="C248" s="2" t="inlineStr">
        <is>
          <t>10.1.8.2 Instrumentos de financiación para el desarrollo territorial</t>
        </is>
      </c>
      <c r="D248" s="2" t="inlineStr"/>
      <c r="E248" s="2" t="inlineStr">
        <is>
          <t>10.1.8.2 Instrumentos de financiación para el desarrollo territorial</t>
        </is>
      </c>
      <c r="F248" s="2" t="inlineStr"/>
      <c r="G248" s="2" t="inlineStr">
        <is>
          <t>No existía categorización funcional; instrumentos listados sin estructura</t>
        </is>
      </c>
      <c r="H248" s="2" t="inlineStr">
        <is>
          <t>Nueva categoría que agrupa instrumentos de captura de valor del suelo: plusvalía, valorización, venta derechos, cesiones, CDF, AEEP, ARE, FIRI</t>
        </is>
      </c>
      <c r="I248" s="2" t="inlineStr"/>
      <c r="J248" s="2" t="inlineStr">
        <is>
          <t>NUEVO</t>
        </is>
      </c>
      <c r="K248" s="6" t="inlineStr">
        <is>
          <t>Fondo</t>
        </is>
      </c>
      <c r="L248" s="2" t="inlineStr"/>
      <c r="M248" s="2" t="inlineStr">
        <is>
          <t>Organización funcional inexistente en Acuerdo 48</t>
        </is>
      </c>
    </row>
    <row r="249">
      <c r="A249" s="2" t="inlineStr">
        <is>
          <t>C. Sistemas Institucionales y de Gestión</t>
        </is>
      </c>
      <c r="B249" s="2" t="inlineStr">
        <is>
          <t>Financiación</t>
        </is>
      </c>
      <c r="C249" s="2" t="inlineStr">
        <is>
          <t>10.1.8.2.1 Participación en plusvalía</t>
        </is>
      </c>
      <c r="D249" s="2" t="inlineStr"/>
      <c r="E249" s="2" t="inlineStr">
        <is>
          <t>10.1.8.2.1 Participación en plusvalía</t>
        </is>
      </c>
      <c r="F249" s="2" t="inlineStr"/>
      <c r="G249" s="2" t="inlineStr">
        <is>
          <t>Arts. 500-504: Regulación básica, hechos generadores según Ley 388</t>
        </is>
      </c>
      <c r="H249" s="2" t="inlineStr">
        <is>
          <t>Actualización: incorpora Decreto 1163/2021, prioriza destinación a compensación patrimonial, mejoramiento integral, renovación urbana, EEP, espacio público. Hechos generadores: obra pública, nuevo suelo expansión, mayor edificabilidad, cambio uso</t>
        </is>
      </c>
      <c r="I249" s="2" t="inlineStr"/>
      <c r="J249" s="2" t="inlineStr">
        <is>
          <t>SUSTANCIAL</t>
        </is>
      </c>
      <c r="K249" s="6" t="inlineStr">
        <is>
          <t>Fondo</t>
        </is>
      </c>
      <c r="L249" s="2" t="inlineStr"/>
      <c r="M249" s="2" t="inlineStr">
        <is>
          <t>Actualización normativa + priorización destinación recursos</t>
        </is>
      </c>
    </row>
    <row r="250">
      <c r="A250" s="2" t="inlineStr">
        <is>
          <t>C. Sistemas Institucionales y de Gestión</t>
        </is>
      </c>
      <c r="B250" s="2" t="inlineStr">
        <is>
          <t>Financiación</t>
        </is>
      </c>
      <c r="C250" s="2" t="inlineStr">
        <is>
          <t>10.1.8.2.2 Contribución de valorización</t>
        </is>
      </c>
      <c r="D250" s="2" t="inlineStr"/>
      <c r="E250" s="2" t="inlineStr">
        <is>
          <t>10.1.8.2.2 Contribución de valorización</t>
        </is>
      </c>
      <c r="F250" s="2" t="inlineStr"/>
      <c r="G250" s="2" t="inlineStr">
        <is>
          <t>Arts. 505-506: Referencia general al marco legal</t>
        </is>
      </c>
      <c r="H250" s="2" t="inlineStr">
        <is>
          <t>Mantiene marco Ley 388/1997. Actualización con articulación FONVALMED, priorizando infraestructura movilidad y espacio público</t>
        </is>
      </c>
      <c r="I250" s="2" t="inlineStr"/>
      <c r="J250" s="2" t="inlineStr">
        <is>
          <t>FORMAL/SUSTANCIAL</t>
        </is>
      </c>
      <c r="K250" s="6" t="inlineStr">
        <is>
          <t>Fondo</t>
        </is>
      </c>
      <c r="L250" s="2" t="inlineStr"/>
      <c r="M250" s="2" t="inlineStr">
        <is>
          <t>Actualización institucional con FONVALMED</t>
        </is>
      </c>
    </row>
    <row r="251">
      <c r="A251" s="2" t="inlineStr">
        <is>
          <t>C. Sistemas Institucionales y de Gestión</t>
        </is>
      </c>
      <c r="B251" s="2" t="inlineStr">
        <is>
          <t>Financiación</t>
        </is>
      </c>
      <c r="C251" s="2" t="inlineStr">
        <is>
          <t>10.1.8.2.3 Venta de derechos de construcción y desarrollo</t>
        </is>
      </c>
      <c r="D251" s="2" t="inlineStr"/>
      <c r="E251" s="2" t="inlineStr">
        <is>
          <t>10.1.8.2.3 Venta de derechos de construcción y desarrollo</t>
        </is>
      </c>
      <c r="F251" s="2" t="inlineStr"/>
      <c r="G251" s="2" t="inlineStr">
        <is>
          <t>Arts. 507-510: Definición básica de venta de derechos</t>
        </is>
      </c>
      <c r="H251" s="2" t="inlineStr">
        <is>
          <t>Restructuración completa: derechos adicionales (Arts. 50 Ley 388, Art. 68 Ley 9/1989, Art. 3 Ley 151/1998), zonas receptoras, mecanismos de comercialización, destinación recursos. Aprovechamiento adicional diferenciado</t>
        </is>
      </c>
      <c r="I251" s="2" t="inlineStr"/>
      <c r="J251" s="2" t="inlineStr">
        <is>
          <t>SUSTANCIAL</t>
        </is>
      </c>
      <c r="K251" s="6" t="inlineStr">
        <is>
          <t>Fondo</t>
        </is>
      </c>
      <c r="L251" s="2" t="inlineStr"/>
      <c r="M251" s="2" t="inlineStr">
        <is>
          <t>De definición general a instrumento operativo con zonas receptoras y mecanismos de comercialización</t>
        </is>
      </c>
    </row>
    <row r="252">
      <c r="A252" s="2" t="inlineStr">
        <is>
          <t>C. Sistemas Institucionales y de Gestión</t>
        </is>
      </c>
      <c r="B252" s="2" t="inlineStr">
        <is>
          <t>Financiación</t>
        </is>
      </c>
      <c r="C252" s="2" t="inlineStr">
        <is>
          <t>10.1.8.2.4 Cesiones urbanísticas</t>
        </is>
      </c>
      <c r="D252" s="2" t="inlineStr"/>
      <c r="E252" s="2" t="inlineStr">
        <is>
          <t>10.1.8.2.4 Cesiones urbanísticas</t>
        </is>
      </c>
      <c r="F252" s="2" t="inlineStr"/>
      <c r="G252" s="2" t="inlineStr">
        <is>
          <t>Arts. 511-513: Cesiones obligatorias básicas</t>
        </is>
      </c>
      <c r="H252" s="2" t="inlineStr">
        <is>
          <t>Cesiones como instrumento de financiación integrado al reparto equitativo. Transferencia de cesiones entre ámbitos. Obligaciones urbanísticas anticipadas con mecanismo de convertibilidad mediante zonas geoeconómicas</t>
        </is>
      </c>
      <c r="I252" s="2" t="inlineStr"/>
      <c r="J252" s="2" t="inlineStr">
        <is>
          <t>SUSTANCIAL</t>
        </is>
      </c>
      <c r="K252" s="6" t="inlineStr">
        <is>
          <t>Fondo</t>
        </is>
      </c>
      <c r="L252" s="2" t="inlineStr"/>
      <c r="M252" s="2" t="inlineStr">
        <is>
          <t>Integración con sistema de zonas geoeconómicas homogéneas</t>
        </is>
      </c>
    </row>
    <row r="253">
      <c r="A253" s="2" t="inlineStr">
        <is>
          <t>C. Sistemas Institucionales y de Gestión</t>
        </is>
      </c>
      <c r="B253" s="2" t="inlineStr">
        <is>
          <t>Financiación</t>
        </is>
      </c>
      <c r="C253" s="2" t="inlineStr">
        <is>
          <t>10.1.8.2.5 Compra de derechos fiduciarios – CDF</t>
        </is>
      </c>
      <c r="D253" s="2" t="inlineStr"/>
      <c r="E253" s="2" t="inlineStr">
        <is>
          <t>10.1.8.2.5 Compra de derechos fiduciarios – CDF</t>
        </is>
      </c>
      <c r="F253" s="2" t="inlineStr"/>
      <c r="G253" s="2" t="inlineStr">
        <is>
          <t>No existía</t>
        </is>
      </c>
      <c r="H253" s="2" t="inlineStr">
        <is>
          <t>Nuevo instrumento: permite a privados adquirir derechos fiduciarios sobre proyectos públicos del POT, movilizando capital privado para financiar infraestructura pública</t>
        </is>
      </c>
      <c r="I253" s="2" t="inlineStr"/>
      <c r="J253" s="2" t="inlineStr">
        <is>
          <t>NUEVO</t>
        </is>
      </c>
      <c r="K253" s="6" t="inlineStr">
        <is>
          <t>Fondo</t>
        </is>
      </c>
      <c r="L253" s="2" t="inlineStr"/>
      <c r="M253" s="2" t="inlineStr">
        <is>
          <t>Instrumento innovador sin precedente en Acuerdo 48</t>
        </is>
      </c>
    </row>
    <row r="254">
      <c r="A254" s="2" t="inlineStr">
        <is>
          <t>C. Sistemas Institucionales y de Gestión</t>
        </is>
      </c>
      <c r="B254" s="2" t="inlineStr">
        <is>
          <t>Financiación</t>
        </is>
      </c>
      <c r="C254" s="2" t="inlineStr">
        <is>
          <t>10.1.8.2.6 Aprovechamiento Económico del Espacio Público – AEEP</t>
        </is>
      </c>
      <c r="D254" s="2" t="inlineStr"/>
      <c r="E254" s="2" t="inlineStr">
        <is>
          <t>10.1.8.2.6 Aprovechamiento Económico del Espacio Público – AEEP</t>
        </is>
      </c>
      <c r="F254" s="2" t="inlineStr"/>
      <c r="G254" s="2" t="inlineStr">
        <is>
          <t>Referencia general</t>
        </is>
      </c>
      <c r="H254" s="2" t="inlineStr">
        <is>
          <t>Desarrollo completo: reglamentación de actividades económicas en espacio público, destinación a mantenimiento y restitución EP, articulación con reubicación de actividades informales</t>
        </is>
      </c>
      <c r="I254" s="2" t="inlineStr"/>
      <c r="J254" s="2" t="inlineStr">
        <is>
          <t>SUSTANCIAL</t>
        </is>
      </c>
      <c r="K254" s="6" t="inlineStr">
        <is>
          <t>Fondo</t>
        </is>
      </c>
      <c r="L254" s="2" t="inlineStr"/>
      <c r="M254" s="2" t="inlineStr">
        <is>
          <t>De mención general a instrumento regulado con destinación específica</t>
        </is>
      </c>
    </row>
    <row r="255">
      <c r="A255" s="2" t="inlineStr">
        <is>
          <t>C. Sistemas Institucionales y de Gestión</t>
        </is>
      </c>
      <c r="B255" s="2" t="inlineStr">
        <is>
          <t>Financiación</t>
        </is>
      </c>
      <c r="C255" s="2" t="inlineStr">
        <is>
          <t>10.1.8.2.7 Áreas de Revitalización Económica – ARE</t>
        </is>
      </c>
      <c r="D255" s="2" t="inlineStr"/>
      <c r="E255" s="2" t="inlineStr">
        <is>
          <t>10.1.8.2.7 Áreas de Revitalización Económica – ARE</t>
        </is>
      </c>
      <c r="F255" s="2" t="inlineStr"/>
      <c r="G255" s="2" t="inlineStr">
        <is>
          <t>No existía</t>
        </is>
      </c>
      <c r="H255" s="2" t="inlineStr">
        <is>
          <t>Nuevo instrumento para dinamizar zonas económicamente deprimidas mediante incentivos tributarios y urbanísticos</t>
        </is>
      </c>
      <c r="I255" s="2" t="inlineStr"/>
      <c r="J255" s="2" t="inlineStr">
        <is>
          <t>NUEVO</t>
        </is>
      </c>
      <c r="K255" s="6" t="inlineStr">
        <is>
          <t>Fondo</t>
        </is>
      </c>
      <c r="L255" s="2" t="inlineStr"/>
      <c r="M255" s="2" t="inlineStr">
        <is>
          <t>Sin precedente en Acuerdo 48</t>
        </is>
      </c>
    </row>
    <row r="256">
      <c r="A256" s="2" t="inlineStr">
        <is>
          <t>C. Sistemas Institucionales y de Gestión</t>
        </is>
      </c>
      <c r="B256" s="2" t="inlineStr">
        <is>
          <t>Financiación</t>
        </is>
      </c>
      <c r="C256" s="2" t="inlineStr">
        <is>
          <t>10.1.8.2.8 Financiamiento por Incremento en Recaudación Impositiva – FIRI</t>
        </is>
      </c>
      <c r="D256" s="2" t="inlineStr"/>
      <c r="E256" s="2" t="inlineStr">
        <is>
          <t>10.1.8.2.8 Financiamiento por Incremento en Recaudación Impositiva – FIRI</t>
        </is>
      </c>
      <c r="F256" s="2" t="inlineStr"/>
      <c r="G256" s="2" t="inlineStr">
        <is>
          <t>No existía</t>
        </is>
      </c>
      <c r="H256" s="2" t="inlineStr">
        <is>
          <t>Nuevo instrumento: emisión de bonos de deuda pública pagados con incremento en recaudo predial generado por renovación urbana. Dirigido a AEI corredor del Río y Borde. Incompatible con valorización para misma obra</t>
        </is>
      </c>
      <c r="I256" s="2" t="inlineStr"/>
      <c r="J256" s="2" t="inlineStr">
        <is>
          <t>NUEVO</t>
        </is>
      </c>
      <c r="K256" s="6" t="inlineStr">
        <is>
          <t>Fondo</t>
        </is>
      </c>
      <c r="L256" s="2" t="inlineStr"/>
      <c r="M256" s="2" t="inlineStr">
        <is>
          <t>Instrumento innovador tipo TIF (Tax Increment Financing)</t>
        </is>
      </c>
    </row>
    <row r="257">
      <c r="A257" s="2" t="inlineStr">
        <is>
          <t>C. Sistemas Institucionales y de Gestión</t>
        </is>
      </c>
      <c r="B257" s="2" t="inlineStr">
        <is>
          <t>Financiación</t>
        </is>
      </c>
      <c r="C257" s="2" t="inlineStr">
        <is>
          <t>10.1.8.3.1 Transferencia de derechos de construcción y desarrollo</t>
        </is>
      </c>
      <c r="D257" s="2" t="inlineStr"/>
      <c r="E257" s="2" t="inlineStr">
        <is>
          <t>10.1.8.3.1 Transferencia de derechos de construcción y desarrollo</t>
        </is>
      </c>
      <c r="F257" s="2" t="inlineStr"/>
      <c r="G257" s="2" t="inlineStr">
        <is>
          <t>Arts. 514-516: Transferencia básica por conservación</t>
        </is>
      </c>
      <c r="H257" s="2" t="inlineStr">
        <is>
          <t>Restructuración completa: compensación diferenciada por conservación ambiental, paisajística y patrimonial. Dos condiciones: bien declarado y zona de influencia. Mínimo 20% del valor al propietario. Aplicable a BIC, tratamientos C1/C3, y red de conectividad ecológica urbana</t>
        </is>
      </c>
      <c r="I257" s="2" t="inlineStr"/>
      <c r="J257" s="2" t="inlineStr">
        <is>
          <t>SUSTANCIAL</t>
        </is>
      </c>
      <c r="K257" s="6" t="inlineStr">
        <is>
          <t>Fondo</t>
        </is>
      </c>
      <c r="L257" s="2" t="inlineStr"/>
      <c r="M257" s="2" t="inlineStr">
        <is>
          <t>De transferencia genérica a mecanismo de compensación diferenciada con fórmulas</t>
        </is>
      </c>
    </row>
    <row r="258">
      <c r="A258" s="2" t="inlineStr">
        <is>
          <t>C. Sistemas Institucionales y de Gestión</t>
        </is>
      </c>
      <c r="B258" s="2" t="inlineStr">
        <is>
          <t>Financiación</t>
        </is>
      </c>
      <c r="C258" s="2" t="inlineStr">
        <is>
          <t>10.1.8.3.2 Pago por Servicios Ambientales – PSA</t>
        </is>
      </c>
      <c r="D258" s="2" t="inlineStr"/>
      <c r="E258" s="2" t="inlineStr">
        <is>
          <t>10.1.8.3.2 Pago por Servicios Ambientales – PSA</t>
        </is>
      </c>
      <c r="F258" s="2" t="inlineStr"/>
      <c r="G258" s="2" t="inlineStr">
        <is>
          <t>No existía como instrumento del subsistema</t>
        </is>
      </c>
      <c r="H258" s="2" t="inlineStr">
        <is>
          <t>Incorporación de PSA como mecanismo de compensación: tipos de PSA (conservación hídrica, biodiversidad, carbono), incentivos complementarios para áreas productivas, planimetría base, alcance</t>
        </is>
      </c>
      <c r="I258" s="2" t="inlineStr"/>
      <c r="J258" s="2" t="inlineStr">
        <is>
          <t>NUEVO</t>
        </is>
      </c>
      <c r="K258" s="6" t="inlineStr">
        <is>
          <t>Fondo</t>
        </is>
      </c>
      <c r="L258" s="2" t="inlineStr"/>
      <c r="M258" s="2" t="inlineStr">
        <is>
          <t>Integración de instrumento ambiental al subsistema de financiación</t>
        </is>
      </c>
    </row>
    <row r="259">
      <c r="A259" s="2" t="inlineStr">
        <is>
          <t>C. Sistemas Institucionales y de Gestión</t>
        </is>
      </c>
      <c r="B259" s="2" t="inlineStr">
        <is>
          <t>Financiación</t>
        </is>
      </c>
      <c r="C259" s="2" t="inlineStr">
        <is>
          <t>10.1.8.3.3 Mecanismos tributarios para OT</t>
        </is>
      </c>
      <c r="D259" s="2" t="inlineStr"/>
      <c r="E259" s="2" t="inlineStr">
        <is>
          <t>10.1.8.3.3 Mecanismos tributarios para OT</t>
        </is>
      </c>
      <c r="F259" s="2" t="inlineStr"/>
      <c r="G259" s="2" t="inlineStr">
        <is>
          <t>No existía articulación explícita</t>
        </is>
      </c>
      <c r="H259" s="2" t="inlineStr">
        <is>
          <t>Beneficios tributarios sobre inmuebles de conservación patrimonial o importancia ambiental/paisajística, articulación con Estatuto Tributario (Acuerdo 64/2012)</t>
        </is>
      </c>
      <c r="I259" s="2" t="inlineStr"/>
      <c r="J259" s="2" t="inlineStr">
        <is>
          <t>NUEVO</t>
        </is>
      </c>
      <c r="K259" s="6" t="inlineStr">
        <is>
          <t>Fondo</t>
        </is>
      </c>
      <c r="L259" s="2" t="inlineStr"/>
      <c r="M259" s="2" t="inlineStr">
        <is>
          <t>Articulación POT-Estatuto Tributario</t>
        </is>
      </c>
    </row>
    <row r="260">
      <c r="A260" s="2" t="inlineStr">
        <is>
          <t>C. Sistemas Institucionales y de Gestión</t>
        </is>
      </c>
      <c r="B260" s="2" t="inlineStr">
        <is>
          <t>Financiación</t>
        </is>
      </c>
      <c r="C260" s="2" t="inlineStr">
        <is>
          <t>10.1.8.3.4 Disminución y/o asimilación en estratificación</t>
        </is>
      </c>
      <c r="D260" s="2" t="inlineStr"/>
      <c r="E260" s="2" t="inlineStr">
        <is>
          <t>10.1.8.3.4 Disminución y/o asimilación en estratificación</t>
        </is>
      </c>
      <c r="F260" s="2" t="inlineStr"/>
      <c r="G260" s="2" t="inlineStr">
        <is>
          <t>Referencia limitada</t>
        </is>
      </c>
      <c r="H260" s="2" t="inlineStr">
        <is>
          <t>Mecanismo de compensación a través de reducción o asimilación de estrato socioeconómico para predios con cargas de conservación</t>
        </is>
      </c>
      <c r="I260" s="2" t="inlineStr"/>
      <c r="J260" s="2" t="inlineStr">
        <is>
          <t>SUSTANCIAL</t>
        </is>
      </c>
      <c r="K260" s="6" t="inlineStr">
        <is>
          <t>Fondo</t>
        </is>
      </c>
      <c r="L260" s="2" t="inlineStr"/>
      <c r="M260" s="2" t="inlineStr">
        <is>
          <t>Compensación vía estratificación como incentivo</t>
        </is>
      </c>
    </row>
    <row r="261">
      <c r="A261" s="2" t="inlineStr">
        <is>
          <t>C. Sistemas Institucionales y de Gestión</t>
        </is>
      </c>
      <c r="B261" s="2" t="inlineStr">
        <is>
          <t>Financiación</t>
        </is>
      </c>
      <c r="C261" s="2" t="inlineStr">
        <is>
          <t>10.1.8.4 Fuentes de financiación del OT</t>
        </is>
      </c>
      <c r="D261" s="2" t="inlineStr"/>
      <c r="E261" s="2" t="inlineStr">
        <is>
          <t>10.1.8.4 Fuentes de financiación del OT</t>
        </is>
      </c>
      <c r="F261" s="2" t="inlineStr"/>
      <c r="G261" s="2" t="inlineStr">
        <is>
          <t>No existía como sección</t>
        </is>
      </c>
      <c r="H261" s="2" t="inlineStr">
        <is>
          <t>Sección completamente nueva: Fuentes públicas nacionales (PGN, SGR, SGP), fuentes públicas territoriales (ingresos corrientes, recursos de capital, transferencias, fondos especiales), fuentes alternativas e innovadoras (APPs, cooperación internacional, derecho real de superficie, bonos verdes, obras por impuestos, FIRI). 5% del predial+ICA+delineación al fondo de gestión POT</t>
        </is>
      </c>
      <c r="I261" s="2" t="inlineStr"/>
      <c r="J261" s="2" t="inlineStr">
        <is>
          <t>NUEVO</t>
        </is>
      </c>
      <c r="K261" s="6" t="inlineStr">
        <is>
          <t>Fondo</t>
        </is>
      </c>
      <c r="L261" s="2" t="inlineStr"/>
      <c r="M261" s="2" t="inlineStr">
        <is>
          <t>Sin precedente. Plan financiero completo del POT</t>
        </is>
      </c>
    </row>
    <row r="262">
      <c r="A262" s="2" t="inlineStr">
        <is>
          <t>D. Áreas de Amenaza y Riesgo</t>
        </is>
      </c>
      <c r="B262" s="2" t="inlineStr">
        <is>
          <t>Amenaza y Riesgo</t>
        </is>
      </c>
      <c r="C262" s="2" t="inlineStr">
        <is>
          <t>1</t>
        </is>
      </c>
      <c r="D262" s="2" t="inlineStr"/>
      <c r="E262" s="2" t="inlineStr">
        <is>
          <t>Art. 52 - Definición de Amenaza</t>
        </is>
      </c>
      <c r="F262" s="2" t="inlineStr"/>
      <c r="G262" s="2" t="inlineStr">
        <is>
          <t>Definición basada en el Acuerdo 48 de 2014, sin cambios reportados.</t>
        </is>
      </c>
      <c r="H262" s="2" t="inlineStr">
        <is>
          <t>Se mantiene sin modificación. El documento señala que no hay norma que la haya modificado.</t>
        </is>
      </c>
      <c r="I262" s="2" t="inlineStr"/>
      <c r="J262" s="2" t="inlineStr">
        <is>
          <t>Se mantiene</t>
        </is>
      </c>
      <c r="K262" s="4" t="inlineStr">
        <is>
          <t>Sin cambio</t>
        </is>
      </c>
      <c r="L262" s="2" t="inlineStr"/>
      <c r="M262" s="2" t="inlineStr"/>
    </row>
    <row r="263">
      <c r="A263" s="2" t="inlineStr">
        <is>
          <t>D. Áreas de Amenaza y Riesgo</t>
        </is>
      </c>
      <c r="B263" s="2" t="inlineStr">
        <is>
          <t>Amenaza y Riesgo</t>
        </is>
      </c>
      <c r="C263" s="2" t="inlineStr">
        <is>
          <t>2</t>
        </is>
      </c>
      <c r="D263" s="2" t="inlineStr"/>
      <c r="E263" s="2" t="inlineStr">
        <is>
          <t>Art. 52 - Amenaza por inundación</t>
        </is>
      </c>
      <c r="F263" s="2" t="inlineStr"/>
      <c r="G263" s="2" t="inlineStr">
        <is>
          <t>Definición original del Acuerdo 48 de 2014.</t>
        </is>
      </c>
      <c r="H263" s="2" t="inlineStr">
        <is>
          <t>No se actualiza. Se conserva igual al Art. 52 del Acuerdo 48 de 2014.</t>
        </is>
      </c>
      <c r="I263" s="2" t="inlineStr"/>
      <c r="J263" s="2" t="inlineStr">
        <is>
          <t>Se mantiene</t>
        </is>
      </c>
      <c r="K263" s="4" t="inlineStr">
        <is>
          <t>Sin cambio</t>
        </is>
      </c>
      <c r="L263" s="2" t="inlineStr"/>
      <c r="M263" s="2" t="inlineStr"/>
    </row>
    <row r="264">
      <c r="A264" s="2" t="inlineStr">
        <is>
          <t>D. Áreas de Amenaza y Riesgo</t>
        </is>
      </c>
      <c r="B264" s="2" t="inlineStr">
        <is>
          <t>Amenaza y Riesgo</t>
        </is>
      </c>
      <c r="C264" s="2" t="inlineStr">
        <is>
          <t>3</t>
        </is>
      </c>
      <c r="D264" s="2" t="inlineStr"/>
      <c r="E264" s="2" t="inlineStr">
        <is>
          <t>Art. 52 - Amenaza por movimiento en masa</t>
        </is>
      </c>
      <c r="F264" s="2" t="inlineStr"/>
      <c r="G264" s="2" t="inlineStr">
        <is>
          <t>Definición original del Acuerdo 48 de 2014.</t>
        </is>
      </c>
      <c r="H264" s="2" t="inlineStr">
        <is>
          <t>No se actualiza. Se conserva igual al Art. 52 del Acuerdo 48 de 2014.</t>
        </is>
      </c>
      <c r="I264" s="2" t="inlineStr"/>
      <c r="J264" s="2" t="inlineStr">
        <is>
          <t>Se mantiene</t>
        </is>
      </c>
      <c r="K264" s="4" t="inlineStr">
        <is>
          <t>Sin cambio</t>
        </is>
      </c>
      <c r="L264" s="2" t="inlineStr"/>
      <c r="M264" s="2" t="inlineStr"/>
    </row>
    <row r="265">
      <c r="A265" s="2" t="inlineStr">
        <is>
          <t>D. Áreas de Amenaza y Riesgo</t>
        </is>
      </c>
      <c r="B265" s="2" t="inlineStr">
        <is>
          <t>Amenaza y Riesgo</t>
        </is>
      </c>
      <c r="C265" s="2" t="inlineStr">
        <is>
          <t>4</t>
        </is>
      </c>
      <c r="D265" s="2" t="inlineStr"/>
      <c r="E265" s="2" t="inlineStr">
        <is>
          <t>Art. 52 - Áreas con condición de riesgo</t>
        </is>
      </c>
      <c r="F265" s="2" t="inlineStr"/>
      <c r="G265" s="2" t="inlineStr">
        <is>
          <t>Definición tomada del Decreto 1077 de 2015 (Art. 2.2.2.1.3.1.3).</t>
        </is>
      </c>
      <c r="H265" s="2" t="inlineStr">
        <is>
          <t>No se actualiza. Se conserva igual a la norma nacional vigente.</t>
        </is>
      </c>
      <c r="I265" s="2" t="inlineStr"/>
      <c r="J265" s="2" t="inlineStr">
        <is>
          <t>Se mantiene</t>
        </is>
      </c>
      <c r="K265" s="4" t="inlineStr">
        <is>
          <t>Sin cambio</t>
        </is>
      </c>
      <c r="L265" s="2" t="inlineStr"/>
      <c r="M265" s="2" t="inlineStr"/>
    </row>
    <row r="266">
      <c r="A266" s="2" t="inlineStr">
        <is>
          <t>D. Áreas de Amenaza y Riesgo</t>
        </is>
      </c>
      <c r="B266" s="2" t="inlineStr">
        <is>
          <t>Amenaza y Riesgo</t>
        </is>
      </c>
      <c r="C266" s="2" t="inlineStr">
        <is>
          <t>5</t>
        </is>
      </c>
      <c r="D266" s="2" t="inlineStr"/>
      <c r="E266" s="2" t="inlineStr">
        <is>
          <t>Art. 52 - Nuevas definiciones incorporadas</t>
        </is>
      </c>
      <c r="F266" s="2" t="inlineStr"/>
      <c r="G266" s="2" t="inlineStr">
        <is>
          <t>No existían en el Acuerdo 48 de 2014: Avenidas torrenciales, Conocimiento del riesgo, Desastre, Exposición, Fragilidad, Gestión del riesgo, Inundación, Mitigación del riesgo, Movimientos en masa, Prevención del riesgo, Recurrenciar, Reducción del riesgo, Resiliencia, Riesgo de desastres, Vulnerabilidad.</t>
        </is>
      </c>
      <c r="H266" s="2" t="inlineStr">
        <is>
          <t>Se incorporan 15 nuevas definiciones técnicas alineadas con la Ley 1523 de 2012 y el Decreto 1077 de 2015.</t>
        </is>
      </c>
      <c r="I266" s="2" t="inlineStr"/>
      <c r="J266" s="2" t="inlineStr">
        <is>
          <t>Nuevo</t>
        </is>
      </c>
      <c r="K266" s="6" t="inlineStr">
        <is>
          <t>Fondo</t>
        </is>
      </c>
      <c r="L266" s="2" t="inlineStr"/>
      <c r="M266" s="2" t="inlineStr"/>
    </row>
    <row r="267">
      <c r="A267" s="2" t="inlineStr">
        <is>
          <t>D. Áreas de Amenaza y Riesgo</t>
        </is>
      </c>
      <c r="B267" s="2" t="inlineStr">
        <is>
          <t>Amenaza y Riesgo</t>
        </is>
      </c>
      <c r="C267" s="2" t="inlineStr">
        <is>
          <t>6</t>
        </is>
      </c>
      <c r="D267" s="2" t="inlineStr"/>
      <c r="E267" s="2" t="inlineStr">
        <is>
          <t>Art. 53 - Categorías de amenaza</t>
        </is>
      </c>
      <c r="F267" s="2" t="inlineStr"/>
      <c r="G267" s="2" t="inlineStr">
        <is>
          <t>Tres categorías: baja, media y alta.</t>
        </is>
      </c>
      <c r="H267" s="2" t="inlineStr">
        <is>
          <t>Cuatro categorías: muy baja, baja, media y alta. Se adiciona la categoría "muy baja".</t>
        </is>
      </c>
      <c r="I267" s="2" t="inlineStr"/>
      <c r="J267" s="2" t="inlineStr">
        <is>
          <t>Modificado</t>
        </is>
      </c>
      <c r="K267" s="6" t="inlineStr">
        <is>
          <t>Fondo</t>
        </is>
      </c>
      <c r="L267" s="2" t="inlineStr"/>
      <c r="M267" s="2" t="inlineStr"/>
    </row>
    <row r="268">
      <c r="A268" s="2" t="inlineStr">
        <is>
          <t>D. Áreas de Amenaza y Riesgo</t>
        </is>
      </c>
      <c r="B268" s="2" t="inlineStr">
        <is>
          <t>Amenaza y Riesgo</t>
        </is>
      </c>
      <c r="C268" s="2" t="inlineStr">
        <is>
          <t>7</t>
        </is>
      </c>
      <c r="D268" s="2" t="inlineStr"/>
      <c r="E268" s="2" t="inlineStr">
        <is>
          <t>Art. 54 - Zona Amenaza Muy Baja (ZAMB)</t>
        </is>
      </c>
      <c r="F268" s="2" t="inlineStr"/>
      <c r="G268" s="2" t="inlineStr">
        <is>
          <t>No existía esta categoría.</t>
        </is>
      </c>
      <c r="H268" s="2" t="inlineStr">
        <is>
          <t>Se incorpora: áreas geológicamente estables, depósitos aluviales del río Medellín, baja a nula probabilidad de movimientos en masa. Solo aplica en suelo urbano.</t>
        </is>
      </c>
      <c r="I268" s="2" t="inlineStr"/>
      <c r="J268" s="2" t="inlineStr">
        <is>
          <t>Nuevo</t>
        </is>
      </c>
      <c r="K268" s="6" t="inlineStr">
        <is>
          <t>Fondo</t>
        </is>
      </c>
      <c r="L268" s="2" t="inlineStr"/>
      <c r="M268" s="2" t="inlineStr"/>
    </row>
    <row r="269">
      <c r="A269" s="2" t="inlineStr">
        <is>
          <t>D. Áreas de Amenaza y Riesgo</t>
        </is>
      </c>
      <c r="B269" s="2" t="inlineStr">
        <is>
          <t>Amenaza y Riesgo</t>
        </is>
      </c>
      <c r="C269" s="2" t="inlineStr">
        <is>
          <t>8</t>
        </is>
      </c>
      <c r="D269" s="2" t="inlineStr"/>
      <c r="E269" s="2" t="inlineStr">
        <is>
          <t>Art. 54 - Zona Amenaza Baja (ZAB)</t>
        </is>
      </c>
      <c r="F269" s="2" t="inlineStr"/>
      <c r="G269" s="2" t="inlineStr">
        <is>
          <t>Áreas con condiciones aceptables de estabilidad asociadas a todas las unidades geomorfológicas, exceptuando SSDPI.</t>
        </is>
      </c>
      <c r="H269" s="2" t="inlineStr">
        <is>
          <t>Se cambia "aceptables" por "aceptables" (en cursiva = nuevo texto). Se agrega que deben implementarse prácticas de gestión y manejo del suelo orientadas a prevenir procesos erosivos.</t>
        </is>
      </c>
      <c r="I269" s="2" t="inlineStr"/>
      <c r="J269" s="2" t="inlineStr">
        <is>
          <t>Modificado</t>
        </is>
      </c>
      <c r="K269" s="6" t="inlineStr">
        <is>
          <t>Fondo</t>
        </is>
      </c>
      <c r="L269" s="2" t="inlineStr"/>
      <c r="M269" s="2" t="inlineStr"/>
    </row>
    <row r="270">
      <c r="A270" s="2" t="inlineStr">
        <is>
          <t>D. Áreas de Amenaza y Riesgo</t>
        </is>
      </c>
      <c r="B270" s="2" t="inlineStr">
        <is>
          <t>Amenaza y Riesgo</t>
        </is>
      </c>
      <c r="C270" s="2" t="inlineStr">
        <is>
          <t>9</t>
        </is>
      </c>
      <c r="D270" s="2" t="inlineStr"/>
      <c r="E270" s="2" t="inlineStr">
        <is>
          <t>Art. 54 - Zona Amenaza Media (ZAM)</t>
        </is>
      </c>
      <c r="F270" s="2" t="inlineStr"/>
      <c r="G270" s="2" t="inlineStr">
        <is>
          <t>Áreas con nivel medio de probabilidad de movimientos en masa, asociadas a prácticas agrícolas como factor antrópico.</t>
        </is>
      </c>
      <c r="H270" s="2" t="inlineStr">
        <is>
          <t>Se elimina la referencia a "prácticas agrícolas". Se cambia "acciones" por "medidas correctivas". Se incorporan criterios de conservación de estabilidad y manejo preventivo. Se agrega obligatoriedad de estudios de detalle con medidas estructurales/no estructurales.</t>
        </is>
      </c>
      <c r="I270" s="2" t="inlineStr"/>
      <c r="J270" s="2" t="inlineStr">
        <is>
          <t>Modificado</t>
        </is>
      </c>
      <c r="K270" s="6" t="inlineStr">
        <is>
          <t>Fondo</t>
        </is>
      </c>
      <c r="L270" s="2" t="inlineStr"/>
      <c r="M270" s="2" t="inlineStr"/>
    </row>
    <row r="271">
      <c r="A271" s="2" t="inlineStr">
        <is>
          <t>D. Áreas de Amenaza y Riesgo</t>
        </is>
      </c>
      <c r="B271" s="2" t="inlineStr">
        <is>
          <t>Amenaza y Riesgo</t>
        </is>
      </c>
      <c r="C271" s="2" t="inlineStr">
        <is>
          <t>10</t>
        </is>
      </c>
      <c r="D271" s="2" t="inlineStr"/>
      <c r="E271" s="2" t="inlineStr">
        <is>
          <t>Art. 54 - Zona Amenaza Alta (ZAA)</t>
        </is>
      </c>
      <c r="F271" s="2" t="inlineStr"/>
      <c r="G271" s="2" t="inlineStr">
        <is>
          <t>Áreas con inestabilidad manifiesta o alta probabilidad de movimientos en masa. Referencia a "la geología, la geomorfología".</t>
        </is>
      </c>
      <c r="H271" s="2" t="inlineStr">
        <is>
          <t>Se cambia terminología: "las condiciones geológicas y geomorfológicas". Se precisa que los estudios de detalle son "con el fin de determinar la categoría del riesgo (alto, medio o bajo) y establecer si este es mitigable o no mitigable". Se añade que los estudios deben cumplir especificaciones técnicas del Distrito.</t>
        </is>
      </c>
      <c r="I271" s="2" t="inlineStr"/>
      <c r="J271" s="2" t="inlineStr">
        <is>
          <t>Modificado</t>
        </is>
      </c>
      <c r="K271" s="6" t="inlineStr">
        <is>
          <t>Fondo</t>
        </is>
      </c>
      <c r="L271" s="2" t="inlineStr"/>
      <c r="M271" s="2" t="inlineStr"/>
    </row>
    <row r="272">
      <c r="A272" s="2" t="inlineStr">
        <is>
          <t>D. Áreas de Amenaza y Riesgo</t>
        </is>
      </c>
      <c r="B272" s="2" t="inlineStr">
        <is>
          <t>Amenaza y Riesgo</t>
        </is>
      </c>
      <c r="C272" s="2" t="inlineStr">
        <is>
          <t>11</t>
        </is>
      </c>
      <c r="D272" s="2" t="inlineStr"/>
      <c r="E272" s="2" t="inlineStr">
        <is>
          <t>Art. 55 - Metodología de zonificación</t>
        </is>
      </c>
      <c r="F272" s="2" t="inlineStr"/>
      <c r="G272" s="2" t="inlineStr">
        <is>
          <t>Método geomorfológico físico enfocado en identificación de cambios morfológicos y sedimentológicos.</t>
        </is>
      </c>
      <c r="H272" s="2" t="inlineStr">
        <is>
          <t>Se actualiza a análisis hidrológicos con parámetros morfométricos y tormentas de diseño, y modelamiento hidráulico. Se definen tres categorías: alta, media y baja.</t>
        </is>
      </c>
      <c r="I272" s="2" t="inlineStr"/>
      <c r="J272" s="2" t="inlineStr">
        <is>
          <t>Modificado</t>
        </is>
      </c>
      <c r="K272" s="6" t="inlineStr">
        <is>
          <t>Fondo</t>
        </is>
      </c>
      <c r="L272" s="2" t="inlineStr"/>
      <c r="M272" s="2" t="inlineStr"/>
    </row>
    <row r="273">
      <c r="A273" s="2" t="inlineStr">
        <is>
          <t>D. Áreas de Amenaza y Riesgo</t>
        </is>
      </c>
      <c r="B273" s="2" t="inlineStr">
        <is>
          <t>Amenaza y Riesgo</t>
        </is>
      </c>
      <c r="C273" s="2" t="inlineStr">
        <is>
          <t>12</t>
        </is>
      </c>
      <c r="D273" s="2" t="inlineStr"/>
      <c r="E273" s="2" t="inlineStr">
        <is>
          <t>Art. 55 - Zona Amenaza Muy Baja (ZAIMB)</t>
        </is>
      </c>
      <c r="F273" s="2" t="inlineStr"/>
      <c r="G273" s="2" t="inlineStr">
        <is>
          <t>Existía como categoría por encharcamiento.</t>
        </is>
      </c>
      <c r="H273" s="2" t="inlineStr">
        <is>
          <t>Se conserva sin cambios sustanciales.</t>
        </is>
      </c>
      <c r="I273" s="2" t="inlineStr"/>
      <c r="J273" s="2" t="inlineStr">
        <is>
          <t>Se mantiene</t>
        </is>
      </c>
      <c r="K273" s="4" t="inlineStr">
        <is>
          <t>Sin cambio</t>
        </is>
      </c>
      <c r="L273" s="2" t="inlineStr"/>
      <c r="M273" s="2" t="inlineStr"/>
    </row>
    <row r="274">
      <c r="A274" s="2" t="inlineStr">
        <is>
          <t>D. Áreas de Amenaza y Riesgo</t>
        </is>
      </c>
      <c r="B274" s="2" t="inlineStr">
        <is>
          <t>Amenaza y Riesgo</t>
        </is>
      </c>
      <c r="C274" s="2" t="inlineStr">
        <is>
          <t>13</t>
        </is>
      </c>
      <c r="D274" s="2" t="inlineStr"/>
      <c r="E274" s="2" t="inlineStr">
        <is>
          <t>Art. 55 - Zona Amenaza Baja (ZAIB)</t>
        </is>
      </c>
      <c r="F274" s="2" t="inlineStr"/>
      <c r="G274" s="2" t="inlineStr">
        <is>
          <t>Referencia al río Medellín.</t>
        </is>
      </c>
      <c r="H274" s="2" t="inlineStr">
        <is>
          <t>Se cambia "río Medellín" por "río Aburrá". Se incorpora criterio técnico: producto de altura de lámina de agua × velocidad &lt; 0,2 m²/s. Se agrega referencia al retiro "hidrológico".</t>
        </is>
      </c>
      <c r="I274" s="2" t="inlineStr"/>
      <c r="J274" s="2" t="inlineStr">
        <is>
          <t>Modificado</t>
        </is>
      </c>
      <c r="K274" s="6" t="inlineStr">
        <is>
          <t>Fondo</t>
        </is>
      </c>
      <c r="L274" s="2" t="inlineStr"/>
      <c r="M274" s="2" t="inlineStr"/>
    </row>
    <row r="275">
      <c r="A275" s="2" t="inlineStr">
        <is>
          <t>D. Áreas de Amenaza y Riesgo</t>
        </is>
      </c>
      <c r="B275" s="2" t="inlineStr">
        <is>
          <t>Amenaza y Riesgo</t>
        </is>
      </c>
      <c r="C275" s="2" t="inlineStr">
        <is>
          <t>14</t>
        </is>
      </c>
      <c r="D275" s="2" t="inlineStr"/>
      <c r="E275" s="2" t="inlineStr">
        <is>
          <t>Art. 55 - Zona Amenaza Media (ZAIM)</t>
        </is>
      </c>
      <c r="F275" s="2" t="inlineStr"/>
      <c r="G275" s="2" t="inlineStr">
        <is>
          <t>Amenaza por inundación por desbordamiento y/o socavación. Referencia a "la ciudad".</t>
        </is>
      </c>
      <c r="H275" s="2" t="inlineStr">
        <is>
          <t>Se elimina "y/o socavación". Se cambia "la ciudad" por "el distrito". Se incorpora criterio cuantitativo: producto de altura × velocidad entre 0,2 y 0,5 m²/s. Se cambia "inadecuada" por "indebida".</t>
        </is>
      </c>
      <c r="I275" s="2" t="inlineStr"/>
      <c r="J275" s="2" t="inlineStr">
        <is>
          <t>Modificado</t>
        </is>
      </c>
      <c r="K275" s="6" t="inlineStr">
        <is>
          <t>Fondo</t>
        </is>
      </c>
      <c r="L275" s="2" t="inlineStr"/>
      <c r="M275" s="2" t="inlineStr"/>
    </row>
    <row r="276">
      <c r="A276" s="2" t="inlineStr">
        <is>
          <t>D. Áreas de Amenaza y Riesgo</t>
        </is>
      </c>
      <c r="B276" s="2" t="inlineStr">
        <is>
          <t>Amenaza y Riesgo</t>
        </is>
      </c>
      <c r="C276" s="2" t="inlineStr">
        <is>
          <t>15</t>
        </is>
      </c>
      <c r="D276" s="2" t="inlineStr"/>
      <c r="E276" s="2" t="inlineStr">
        <is>
          <t>Art. 55 - Zona Amenaza Alta (ZAIA)</t>
        </is>
      </c>
      <c r="F276" s="2" t="inlineStr"/>
      <c r="G276" s="2" t="inlineStr">
        <is>
          <t>Áreas susceptibles por inundaciones lentas y/o desbordamientos.</t>
        </is>
      </c>
      <c r="H276" s="2" t="inlineStr">
        <is>
          <t>Se incorpora criterio cuantitativo: producto de altura × velocidad &gt; 0,5 m²/s. Se agrega posibilidad de implementar medidas de manejo basadas en naturaleza mientras se adelantan estudios.</t>
        </is>
      </c>
      <c r="I276" s="2" t="inlineStr"/>
      <c r="J276" s="2" t="inlineStr">
        <is>
          <t>Modificado</t>
        </is>
      </c>
      <c r="K276" s="6" t="inlineStr">
        <is>
          <t>Fondo</t>
        </is>
      </c>
      <c r="L276" s="2" t="inlineStr"/>
      <c r="M276" s="2" t="inlineStr"/>
    </row>
    <row r="277">
      <c r="A277" s="2" t="inlineStr">
        <is>
          <t>D. Áreas de Amenaza y Riesgo</t>
        </is>
      </c>
      <c r="B277" s="2" t="inlineStr">
        <is>
          <t>Amenaza y Riesgo</t>
        </is>
      </c>
      <c r="C277" s="2" t="inlineStr">
        <is>
          <t>16</t>
        </is>
      </c>
      <c r="D277" s="2" t="inlineStr"/>
      <c r="E277" s="2" t="inlineStr">
        <is>
          <t>Art. 56 - Metodología</t>
        </is>
      </c>
      <c r="F277" s="2" t="inlineStr"/>
      <c r="G277" s="2" t="inlineStr">
        <is>
          <t>Método geomorfológico orientado a identificar quebradas con comportamiento torrencial.</t>
        </is>
      </c>
      <c r="H277" s="2" t="inlineStr">
        <is>
          <t>Se actualiza a método hidrológico e hidráulico complementado con análisis históricos, geomorfológicos y sedimentológicos. Se enfoca en la identificación de componentes geomorfológicos, geológicos, morfodinámicos y morfométricos de una cuenca.</t>
        </is>
      </c>
      <c r="I277" s="2" t="inlineStr"/>
      <c r="J277" s="2" t="inlineStr">
        <is>
          <t>Modificado</t>
        </is>
      </c>
      <c r="K277" s="6" t="inlineStr">
        <is>
          <t>Fondo</t>
        </is>
      </c>
      <c r="L277" s="2" t="inlineStr"/>
      <c r="M277" s="2" t="inlineStr"/>
    </row>
    <row r="278">
      <c r="A278" s="2" t="inlineStr">
        <is>
          <t>D. Áreas de Amenaza y Riesgo</t>
        </is>
      </c>
      <c r="B278" s="2" t="inlineStr">
        <is>
          <t>Amenaza y Riesgo</t>
        </is>
      </c>
      <c r="C278" s="2" t="inlineStr">
        <is>
          <t>17</t>
        </is>
      </c>
      <c r="D278" s="2" t="inlineStr"/>
      <c r="E278" s="2" t="inlineStr">
        <is>
          <t>Art. 56 - Zona Amenaza Baja (ZBAT)</t>
        </is>
      </c>
      <c r="F278" s="2" t="inlineStr"/>
      <c r="G278" s="2" t="inlineStr">
        <is>
          <t>No se incorporaba explícitamente el nombre en el artículo.</t>
        </is>
      </c>
      <c r="H278" s="2" t="inlineStr">
        <is>
          <t>Se incorpora el nombre al artículo. Se definen como llanuras aluviotorrenciales antiguas con recurrencia de 500 años e intensidad de flujo &lt; 1 m³/s².</t>
        </is>
      </c>
      <c r="I278" s="2" t="inlineStr"/>
      <c r="J278" s="2" t="inlineStr">
        <is>
          <t>Nuevo</t>
        </is>
      </c>
      <c r="K278" s="6" t="inlineStr">
        <is>
          <t>Fondo</t>
        </is>
      </c>
      <c r="L278" s="2" t="inlineStr"/>
      <c r="M278" s="2" t="inlineStr"/>
    </row>
    <row r="279">
      <c r="A279" s="2" t="inlineStr">
        <is>
          <t>D. Áreas de Amenaza y Riesgo</t>
        </is>
      </c>
      <c r="B279" s="2" t="inlineStr">
        <is>
          <t>Amenaza y Riesgo</t>
        </is>
      </c>
      <c r="C279" s="2" t="inlineStr">
        <is>
          <t>18</t>
        </is>
      </c>
      <c r="D279" s="2" t="inlineStr"/>
      <c r="E279" s="2" t="inlineStr">
        <is>
          <t>Art. 56 - Zona Amenaza Media (ZMAT)</t>
        </is>
      </c>
      <c r="F279" s="2" t="inlineStr"/>
      <c r="G279" s="2" t="inlineStr">
        <is>
          <t>No se incorporaba explícitamente el nombre.</t>
        </is>
      </c>
      <c r="H279" s="2" t="inlineStr">
        <is>
          <t>Se incorpora el nombre. Se definen por valores moderados de IDF y periodos de retorno entre 25 y 500 años.</t>
        </is>
      </c>
      <c r="I279" s="2" t="inlineStr"/>
      <c r="J279" s="2" t="inlineStr">
        <is>
          <t>Nuevo</t>
        </is>
      </c>
      <c r="K279" s="6" t="inlineStr">
        <is>
          <t>Fondo</t>
        </is>
      </c>
      <c r="L279" s="2" t="inlineStr"/>
      <c r="M279" s="2" t="inlineStr"/>
    </row>
    <row r="280">
      <c r="A280" s="2" t="inlineStr">
        <is>
          <t>D. Áreas de Amenaza y Riesgo</t>
        </is>
      </c>
      <c r="B280" s="2" t="inlineStr">
        <is>
          <t>Amenaza y Riesgo</t>
        </is>
      </c>
      <c r="C280" s="2" t="inlineStr">
        <is>
          <t>19</t>
        </is>
      </c>
      <c r="D280" s="2" t="inlineStr"/>
      <c r="E280" s="2" t="inlineStr">
        <is>
          <t>Art. 56 - Zona Amenaza Alta (ZAAT)</t>
        </is>
      </c>
      <c r="F280" s="2" t="inlineStr"/>
      <c r="G280" s="2" t="inlineStr">
        <is>
          <t>Todas las áreas con evidencias o antecedentes de avenida torrencial.</t>
        </is>
      </c>
      <c r="H280" s="2" t="inlineStr">
        <is>
          <t>Se incorpora criterio cuantitativo: periodos de retorno entre 25 y 500 años, flujo de 50 m³/s². Se cambia "Dado" por "Considerando". Se incluyen áreas de conos de deyección y abanicos aluviales.</t>
        </is>
      </c>
      <c r="I280" s="2" t="inlineStr"/>
      <c r="J280" s="2" t="inlineStr">
        <is>
          <t>Modificado</t>
        </is>
      </c>
      <c r="K280" s="6" t="inlineStr">
        <is>
          <t>Fondo</t>
        </is>
      </c>
      <c r="L280" s="2" t="inlineStr"/>
      <c r="M280" s="2" t="inlineStr"/>
    </row>
    <row r="281">
      <c r="A281" s="2" t="inlineStr">
        <is>
          <t>D. Áreas de Amenaza y Riesgo</t>
        </is>
      </c>
      <c r="B281" s="2" t="inlineStr">
        <is>
          <t>Amenaza y Riesgo</t>
        </is>
      </c>
      <c r="C281" s="2" t="inlineStr">
        <is>
          <t>20</t>
        </is>
      </c>
      <c r="D281" s="2" t="inlineStr"/>
      <c r="E281" s="2" t="inlineStr">
        <is>
          <t>Art. 57 - Actuaciones de espacio público</t>
        </is>
      </c>
      <c r="F281" s="2" t="inlineStr"/>
      <c r="G281" s="2" t="inlineStr">
        <is>
          <t>No se incluye detalle en este documento.</t>
        </is>
      </c>
      <c r="H281" s="2" t="inlineStr">
        <is>
          <t>El documento indica que este artículo aplica en la modificación pero no se desarrolla en detalle en esta sección.</t>
        </is>
      </c>
      <c r="I281" s="2" t="inlineStr"/>
      <c r="J281" s="2" t="inlineStr">
        <is>
          <t>Por definir</t>
        </is>
      </c>
      <c r="K281" s="5" t="inlineStr">
        <is>
          <t>Indeterminado</t>
        </is>
      </c>
      <c r="L281" s="2" t="inlineStr"/>
      <c r="M281" s="2" t="inlineStr"/>
    </row>
    <row r="282">
      <c r="A282" s="2" t="inlineStr">
        <is>
          <t>D. Áreas de Amenaza y Riesgo</t>
        </is>
      </c>
      <c r="B282" s="2" t="inlineStr">
        <is>
          <t>Amenaza y Riesgo</t>
        </is>
      </c>
      <c r="C282" s="2" t="inlineStr">
        <is>
          <t>21</t>
        </is>
      </c>
      <c r="D282" s="2" t="inlineStr"/>
      <c r="E282" s="2" t="inlineStr">
        <is>
          <t>Art. 58 - Definición y manejo</t>
        </is>
      </c>
      <c r="F282" s="2" t="inlineStr"/>
      <c r="G282" s="2" t="inlineStr">
        <is>
          <t>Áreas de amenaza alta urbanizadas que requieren estudios de riesgo de detalle para definir mitigabilidad. Clasifica como alto riesgo mitigable o no mitigable.</t>
        </is>
      </c>
      <c r="H282" s="2" t="inlineStr">
        <is>
          <t>Se precisa que el fin de los estudios es "determinar la categoría del riesgo (alto, medio o bajo) y establecer si este es mitigable o no mitigable". Se incorpora regulación para suelo suburbano y centros poblados rurales. Se condiciona desarrollo por parcelación a estudios y medidas de reducción del riesgo.</t>
        </is>
      </c>
      <c r="I282" s="2" t="inlineStr"/>
      <c r="J282" s="2" t="inlineStr">
        <is>
          <t>Modificado</t>
        </is>
      </c>
      <c r="K282" s="6" t="inlineStr">
        <is>
          <t>Fondo</t>
        </is>
      </c>
      <c r="L282" s="2" t="inlineStr"/>
      <c r="M282" s="2" t="inlineStr"/>
    </row>
    <row r="283">
      <c r="A283" s="2" t="inlineStr">
        <is>
          <t>D. Áreas de Amenaza y Riesgo</t>
        </is>
      </c>
      <c r="B283" s="2" t="inlineStr">
        <is>
          <t>Amenaza y Riesgo</t>
        </is>
      </c>
      <c r="C283" s="2" t="inlineStr">
        <is>
          <t>22</t>
        </is>
      </c>
      <c r="D283" s="2" t="inlineStr"/>
      <c r="E283" s="2" t="inlineStr">
        <is>
          <t>Art. 59 - Definición</t>
        </is>
      </c>
      <c r="F283" s="2" t="inlineStr"/>
      <c r="G283" s="2" t="inlineStr">
        <is>
          <t>Zonas donde han ocurrido eventos recientes con afectación a viviendas e infraestructura.</t>
        </is>
      </c>
      <c r="H283" s="2" t="inlineStr">
        <is>
          <t>Se agrega: "Asimismo, se consideran aquellas áreas de alto riesgo donde la implementación de medidas de mitigación estructural resulta técnica y económicamente más compleja y costosa que el reasentamiento de la población".</t>
        </is>
      </c>
      <c r="I283" s="2" t="inlineStr"/>
      <c r="J283" s="2" t="inlineStr">
        <is>
          <t>Modificado</t>
        </is>
      </c>
      <c r="K283" s="6" t="inlineStr">
        <is>
          <t>Fondo</t>
        </is>
      </c>
      <c r="L283" s="2" t="inlineStr"/>
      <c r="M283" s="2" t="inlineStr"/>
    </row>
    <row r="284">
      <c r="A284" s="2" t="inlineStr">
        <is>
          <t>D. Áreas de Amenaza y Riesgo</t>
        </is>
      </c>
      <c r="B284" s="2" t="inlineStr">
        <is>
          <t>Amenaza y Riesgo</t>
        </is>
      </c>
      <c r="C284" s="2" t="inlineStr">
        <is>
          <t>23</t>
        </is>
      </c>
      <c r="D284" s="2" t="inlineStr"/>
      <c r="E284" s="2" t="inlineStr">
        <is>
          <t>Art. 59 - Estudios de detalle incorporados</t>
        </is>
      </c>
      <c r="F284" s="2" t="inlineStr"/>
      <c r="G284" s="2" t="inlineStr">
        <is>
          <t>No se contaba con estudios de detalle incorporados.</t>
        </is>
      </c>
      <c r="H284" s="2" t="inlineStr">
        <is>
          <t>Se incorporan resultados de estudios de detalle ejecutados por Universidad EAFIT (2025). Se identifican zonas adicionales de alto riesgo no mitigable.</t>
        </is>
      </c>
      <c r="I284" s="2" t="inlineStr"/>
      <c r="J284" s="2" t="inlineStr">
        <is>
          <t>Nuevo</t>
        </is>
      </c>
      <c r="K284" s="6" t="inlineStr">
        <is>
          <t>Fondo</t>
        </is>
      </c>
      <c r="L284" s="2" t="inlineStr"/>
      <c r="M284" s="2" t="inlineStr"/>
    </row>
    <row r="285">
      <c r="A285" s="2" t="inlineStr">
        <is>
          <t>D. Áreas de Amenaza y Riesgo</t>
        </is>
      </c>
      <c r="B285" s="2" t="inlineStr">
        <is>
          <t>Amenaza y Riesgo</t>
        </is>
      </c>
      <c r="C285" s="2" t="inlineStr">
        <is>
          <t>24</t>
        </is>
      </c>
      <c r="D285" s="2" t="inlineStr"/>
      <c r="E285" s="2" t="inlineStr">
        <is>
          <t>Art. 59 - Procedimiento de entrega a Autoridad Ambiental</t>
        </is>
      </c>
      <c r="F285" s="2" t="inlineStr"/>
      <c r="G285" s="2" t="inlineStr">
        <is>
          <t>Referencia al Memorando de Corantioquia No 080-1301-126 de 2013.</t>
        </is>
      </c>
      <c r="H285" s="2" t="inlineStr">
        <is>
          <t>Se reemplaza por: "de acuerdo con las disposiciones de la normatividad vigente o cualquier acto administrativo que lo adicione, modifique o sustituya".</t>
        </is>
      </c>
      <c r="I285" s="2" t="inlineStr"/>
      <c r="J285" s="2" t="inlineStr">
        <is>
          <t>Modificado</t>
        </is>
      </c>
      <c r="K285" s="6" t="inlineStr">
        <is>
          <t>Fondo</t>
        </is>
      </c>
      <c r="L285" s="2" t="inlineStr"/>
      <c r="M285" s="2" t="inlineStr"/>
    </row>
    <row r="286">
      <c r="A286" s="2" t="inlineStr">
        <is>
          <t>D. Áreas de Amenaza y Riesgo</t>
        </is>
      </c>
      <c r="B286" s="2" t="inlineStr">
        <is>
          <t>Amenaza y Riesgo</t>
        </is>
      </c>
      <c r="C286" s="2" t="inlineStr">
        <is>
          <t>25</t>
        </is>
      </c>
      <c r="D286" s="2" t="inlineStr"/>
      <c r="E286" s="2" t="inlineStr">
        <is>
          <t>Art. 59 - Concepto previo para ecoparques</t>
        </is>
      </c>
      <c r="F286" s="2" t="inlineStr"/>
      <c r="G286" s="2" t="inlineStr">
        <is>
          <t>Previo concepto de la Subsecretaría de MetroRío y del DAP.</t>
        </is>
      </c>
      <c r="H286" s="2" t="inlineStr">
        <is>
          <t>Se cambia a: previo concepto de la Secretaría de Medio Ambiente y el DAP.</t>
        </is>
      </c>
      <c r="I286" s="2" t="inlineStr"/>
      <c r="J286" s="2" t="inlineStr">
        <is>
          <t>Modificado</t>
        </is>
      </c>
      <c r="K286" s="6" t="inlineStr">
        <is>
          <t>Fondo</t>
        </is>
      </c>
      <c r="L286" s="2" t="inlineStr"/>
      <c r="M286" s="2" t="inlineStr"/>
    </row>
    <row r="287">
      <c r="A287" s="2" t="inlineStr">
        <is>
          <t>D. Áreas de Amenaza y Riesgo</t>
        </is>
      </c>
      <c r="B287" s="2" t="inlineStr">
        <is>
          <t>Amenaza y Riesgo</t>
        </is>
      </c>
      <c r="C287" s="2" t="inlineStr">
        <is>
          <t>26</t>
        </is>
      </c>
      <c r="D287" s="2" t="inlineStr"/>
      <c r="E287" s="2" t="inlineStr">
        <is>
          <t>Art. 59 (nuevo) - Zonas de Alto Riesgo Mitigable (ZARM)</t>
        </is>
      </c>
      <c r="F287" s="2" t="inlineStr"/>
      <c r="G287" s="2" t="inlineStr">
        <is>
          <t>No existía esta categoría diferenciada en el Acuerdo 48 de 2014.</t>
        </is>
      </c>
      <c r="H287" s="2" t="inlineStr">
        <is>
          <t>Se incorpora: áreas donde el fenómeno es controlable mediante obras de mitigación estructurales y/o no estructurales a costo razonable, sin necesidad de reasentamiento.</t>
        </is>
      </c>
      <c r="I287" s="2" t="inlineStr"/>
      <c r="J287" s="2" t="inlineStr">
        <is>
          <t>Nuevo</t>
        </is>
      </c>
      <c r="K287" s="6" t="inlineStr">
        <is>
          <t>Fondo</t>
        </is>
      </c>
      <c r="L287" s="2" t="inlineStr"/>
      <c r="M287" s="2" t="inlineStr"/>
    </row>
    <row r="288">
      <c r="A288" s="2" t="inlineStr">
        <is>
          <t>D. Áreas de Amenaza y Riesgo</t>
        </is>
      </c>
      <c r="B288" s="2" t="inlineStr">
        <is>
          <t>Amenaza y Riesgo</t>
        </is>
      </c>
      <c r="C288" s="2" t="inlineStr">
        <is>
          <t>27</t>
        </is>
      </c>
      <c r="D288" s="2" t="inlineStr"/>
      <c r="E288" s="2" t="inlineStr">
        <is>
          <t>Art. 59 (nuevo) - Zonas de Riesgo Medio (ZRM)</t>
        </is>
      </c>
      <c r="F288" s="2" t="inlineStr"/>
      <c r="G288" s="2" t="inlineStr">
        <is>
          <t>No existía esta categoría en el Acuerdo 48 de 2014.</t>
        </is>
      </c>
      <c r="H288" s="2" t="inlineStr">
        <is>
          <t>Se incorpora: áreas donde los procesos de inestabilidad pueden ser controlados mediante medidas de mitigación menores o estabilización estructural.</t>
        </is>
      </c>
      <c r="I288" s="2" t="inlineStr"/>
      <c r="J288" s="2" t="inlineStr">
        <is>
          <t>Nuevo</t>
        </is>
      </c>
      <c r="K288" s="6" t="inlineStr">
        <is>
          <t>Fondo</t>
        </is>
      </c>
      <c r="L288" s="2" t="inlineStr"/>
      <c r="M288" s="2" t="inlineStr"/>
    </row>
    <row r="289">
      <c r="A289" s="2" t="inlineStr">
        <is>
          <t>D. Áreas de Amenaza y Riesgo</t>
        </is>
      </c>
      <c r="B289" s="2" t="inlineStr">
        <is>
          <t>Amenaza y Riesgo</t>
        </is>
      </c>
      <c r="C289" s="2" t="inlineStr">
        <is>
          <t>28</t>
        </is>
      </c>
      <c r="D289" s="2" t="inlineStr"/>
      <c r="E289" s="2" t="inlineStr">
        <is>
          <t>Art. 59 (nuevo) - Zonas de Riesgo Bajo (ZRB)</t>
        </is>
      </c>
      <c r="F289" s="2" t="inlineStr"/>
      <c r="G289" s="2" t="inlineStr">
        <is>
          <t>No existía esta categoría en el Acuerdo 48 de 2014.</t>
        </is>
      </c>
      <c r="H289" s="2" t="inlineStr">
        <is>
          <t>Se incorpora: áreas con medidas mínimas de prevención, sin restricciones significativas para actuaciones urbanísticas.</t>
        </is>
      </c>
      <c r="I289" s="2" t="inlineStr"/>
      <c r="J289" s="2" t="inlineStr">
        <is>
          <t>Nuevo</t>
        </is>
      </c>
      <c r="K289" s="6" t="inlineStr">
        <is>
          <t>Fondo</t>
        </is>
      </c>
      <c r="L289" s="2" t="inlineStr"/>
      <c r="M289" s="2" t="inlineStr"/>
    </row>
    <row r="290">
      <c r="A290" s="2" t="inlineStr">
        <is>
          <t>D. Áreas de Amenaza y Riesgo</t>
        </is>
      </c>
      <c r="B290" s="2" t="inlineStr">
        <is>
          <t>Amenaza y Riesgo</t>
        </is>
      </c>
      <c r="C290" s="2" t="inlineStr">
        <is>
          <t>NUMERAL 6.5 - ÁREAS CON CONDICIÓN DE AMENAZA (NUEVO)</t>
        </is>
      </c>
      <c r="D290" s="2" t="inlineStr"/>
      <c r="E290" s="2" t="inlineStr"/>
      <c r="F290" s="2" t="inlineStr"/>
      <c r="G290" s="2" t="inlineStr"/>
      <c r="H290" s="2" t="inlineStr"/>
      <c r="I290" s="2" t="inlineStr"/>
      <c r="J290" s="2" t="inlineStr">
        <is>
          <t>Nuevo</t>
        </is>
      </c>
      <c r="K290" s="6" t="inlineStr">
        <is>
          <t>Fondo</t>
        </is>
      </c>
      <c r="L290" s="2" t="inlineStr"/>
      <c r="M290" s="2" t="inlineStr"/>
    </row>
    <row r="291">
      <c r="A291" s="2" t="inlineStr">
        <is>
          <t>D. Áreas de Amenaza y Riesgo</t>
        </is>
      </c>
      <c r="B291" s="2" t="inlineStr">
        <is>
          <t>Amenaza y Riesgo</t>
        </is>
      </c>
      <c r="C291" s="2" t="inlineStr">
        <is>
          <t>29</t>
        </is>
      </c>
      <c r="D291" s="2" t="inlineStr"/>
      <c r="E291" s="2" t="inlineStr">
        <is>
          <t>Numeral 6.5 - Áreas con condición de amenaza</t>
        </is>
      </c>
      <c r="F291" s="2" t="inlineStr"/>
      <c r="G291" s="2" t="inlineStr">
        <is>
          <t>No existía esta categoría en el Acuerdo 48 de 2014.</t>
        </is>
      </c>
      <c r="H291" s="2" t="inlineStr">
        <is>
          <t>Se INCORPORA: áreas zonificadas como amenaza alta y media en las que se establezca necesidad de clasificarlas como suelo urbano, expansión, rural suburbano o centros poblados. Se cuantifican: Mov. en masa 217,97 ha; Inundaciones 0,85 ha; Avenidas torrenciales 3,88 ha.</t>
        </is>
      </c>
      <c r="I291" s="2" t="inlineStr"/>
      <c r="J291" s="2" t="inlineStr">
        <is>
          <t>Nuevo</t>
        </is>
      </c>
      <c r="K291" s="6" t="inlineStr">
        <is>
          <t>Fondo</t>
        </is>
      </c>
      <c r="L291" s="2" t="inlineStr"/>
      <c r="M291" s="2" t="inlineStr"/>
    </row>
    <row r="292">
      <c r="A292" s="2" t="inlineStr">
        <is>
          <t>D. Áreas de Amenaza y Riesgo</t>
        </is>
      </c>
      <c r="B292" s="2" t="inlineStr">
        <is>
          <t>Amenaza y Riesgo</t>
        </is>
      </c>
      <c r="C292" s="2" t="inlineStr">
        <is>
          <t>30</t>
        </is>
      </c>
      <c r="D292" s="2" t="inlineStr"/>
      <c r="E292" s="2" t="inlineStr">
        <is>
          <t>Art. 60 - Suelos de protección</t>
        </is>
      </c>
      <c r="F292" s="2" t="inlineStr"/>
      <c r="G292" s="2" t="inlineStr">
        <is>
          <t>Listado de condiciones para clasificar suelos de protección.</t>
        </is>
      </c>
      <c r="H292" s="2" t="inlineStr">
        <is>
          <t>Se simplifican los criterios. Se eliminan algunos supuestos específicos (declaratoria de calamidad pública, áreas con condiciones de riesgo como criterio independiente). Se mantienen los principales criterios asociados a amenaza alta y alto riesgo no mitigable.</t>
        </is>
      </c>
      <c r="I292" s="2" t="inlineStr"/>
      <c r="J292" s="2" t="inlineStr">
        <is>
          <t>Modificado</t>
        </is>
      </c>
      <c r="K292" s="6" t="inlineStr">
        <is>
          <t>Fondo</t>
        </is>
      </c>
      <c r="L292" s="2" t="inlineStr"/>
      <c r="M292" s="2" t="inlineStr"/>
    </row>
    <row r="293">
      <c r="A293" s="2" t="inlineStr">
        <is>
          <t>D. Áreas de Amenaza y Riesgo</t>
        </is>
      </c>
      <c r="B293" s="2" t="inlineStr">
        <is>
          <t>Amenaza y Riesgo</t>
        </is>
      </c>
      <c r="C293" s="2" t="inlineStr">
        <is>
          <t>31</t>
        </is>
      </c>
      <c r="D293" s="2" t="inlineStr"/>
      <c r="E293" s="2" t="inlineStr">
        <is>
          <t>Terminología institucional</t>
        </is>
      </c>
      <c r="F293" s="2" t="inlineStr"/>
      <c r="G293" s="2" t="inlineStr">
        <is>
          <t>Referencias a "Municipio de Medellín", "administración Municipal", "Plan Municipal de Gestión del Riesgo".</t>
        </is>
      </c>
      <c r="H293" s="2" t="inlineStr">
        <is>
          <t>"Distrito de Medellín", "administración Distrital", "Plan Distrital de Gestión del Riesgo".</t>
        </is>
      </c>
      <c r="I293" s="2" t="inlineStr"/>
      <c r="J293" s="2" t="inlineStr">
        <is>
          <t>Modificado</t>
        </is>
      </c>
      <c r="K293" s="6" t="inlineStr">
        <is>
          <t>Fondo</t>
        </is>
      </c>
      <c r="L293" s="2" t="inlineStr"/>
      <c r="M293" s="2" t="inlineStr"/>
    </row>
    <row r="294">
      <c r="A294" s="2" t="inlineStr">
        <is>
          <t>D. Áreas de Amenaza y Riesgo</t>
        </is>
      </c>
      <c r="B294" s="2" t="inlineStr">
        <is>
          <t>Amenaza y Riesgo</t>
        </is>
      </c>
      <c r="C294" s="2" t="inlineStr">
        <is>
          <t>32</t>
        </is>
      </c>
      <c r="D294" s="2" t="inlineStr"/>
      <c r="E294" s="2" t="inlineStr">
        <is>
          <t>Referencia al río</t>
        </is>
      </c>
      <c r="F294" s="2" t="inlineStr"/>
      <c r="G294" s="2" t="inlineStr">
        <is>
          <t>Río Medellín.</t>
        </is>
      </c>
      <c r="H294" s="2" t="inlineStr">
        <is>
          <t>Río Aburrá.</t>
        </is>
      </c>
      <c r="I294" s="2" t="inlineStr"/>
      <c r="J294" s="2" t="inlineStr">
        <is>
          <t>Modificado</t>
        </is>
      </c>
      <c r="K294" s="6" t="inlineStr">
        <is>
          <t>Fondo</t>
        </is>
      </c>
      <c r="L294" s="2" t="inlineStr"/>
      <c r="M294" s="2" t="inlineStr"/>
    </row>
    <row r="295">
      <c r="A295" s="2" t="inlineStr">
        <is>
          <t>D. Áreas de Amenaza y Riesgo</t>
        </is>
      </c>
      <c r="B295" s="2" t="inlineStr">
        <is>
          <t>Amenaza y Riesgo</t>
        </is>
      </c>
      <c r="C295" s="2" t="inlineStr">
        <is>
          <t>33</t>
        </is>
      </c>
      <c r="D295" s="2" t="inlineStr"/>
      <c r="E295" s="2" t="inlineStr">
        <is>
          <t>Estudio básico de amenazas</t>
        </is>
      </c>
      <c r="F295" s="2" t="inlineStr"/>
      <c r="G295" s="2" t="inlineStr">
        <is>
          <t>Estudio básico realizado por Universidad Nacional de Colombia (2009).</t>
        </is>
      </c>
      <c r="H295" s="2" t="inlineStr">
        <is>
          <t>Estudio básico actualizado por Universidad EAFIT (2025). Se incorporan 29 estudios de detalle.</t>
        </is>
      </c>
      <c r="I295" s="2" t="inlineStr"/>
      <c r="J295" s="2" t="inlineStr">
        <is>
          <t>Modificado</t>
        </is>
      </c>
      <c r="K295" s="6" t="inlineStr">
        <is>
          <t>Fondo</t>
        </is>
      </c>
      <c r="L295" s="2" t="inlineStr"/>
      <c r="M295" s="2" t="inlineStr"/>
    </row>
    <row r="296">
      <c r="A296" s="2" t="inlineStr">
        <is>
          <t>D. Áreas de Amenaza y Riesgo</t>
        </is>
      </c>
      <c r="B296" s="2" t="inlineStr">
        <is>
          <t>Amenaza y Riesgo</t>
        </is>
      </c>
      <c r="C296" s="2" t="inlineStr">
        <is>
          <t>34</t>
        </is>
      </c>
      <c r="D296" s="2" t="inlineStr"/>
      <c r="E296" s="2" t="inlineStr">
        <is>
          <t>Cartografía y mapas protocolizados</t>
        </is>
      </c>
      <c r="F296" s="2" t="inlineStr"/>
      <c r="G296" s="2" t="inlineStr">
        <is>
          <t>Cartografía basada en estudios del Acuerdo 48 de 2014.</t>
        </is>
      </c>
      <c r="H296" s="2" t="inlineStr">
        <is>
          <t>Se actualizan todos los mapas protocolizados con nueva cartografía derivada de estudios básicos y de detalle actualizados.</t>
        </is>
      </c>
      <c r="I296" s="2" t="inlineStr"/>
      <c r="J296" s="2" t="inlineStr">
        <is>
          <t>Modificado</t>
        </is>
      </c>
      <c r="K296" s="6" t="inlineStr">
        <is>
          <t>Fondo</t>
        </is>
      </c>
      <c r="L296" s="2" t="inlineStr"/>
      <c r="M296" s="2" t="inlineStr"/>
    </row>
    <row r="297">
      <c r="A297" s="2" t="inlineStr">
        <is>
          <t>D. Áreas de Amenaza y Riesgo</t>
        </is>
      </c>
      <c r="B297" s="2" t="inlineStr">
        <is>
          <t>Amenaza y Riesgo</t>
        </is>
      </c>
      <c r="C297" s="2" t="inlineStr">
        <is>
          <t>35</t>
        </is>
      </c>
      <c r="D297" s="2" t="inlineStr"/>
      <c r="E297" s="2" t="inlineStr">
        <is>
          <t>Numeración del articulado</t>
        </is>
      </c>
      <c r="F297" s="2" t="inlineStr"/>
      <c r="G297" s="2" t="inlineStr">
        <is>
          <t>Artículos 52 a 59.</t>
        </is>
      </c>
      <c r="H297" s="2" t="inlineStr">
        <is>
          <t>Se requiere ajuste de numeración. Se amplía hasta incluir Art. 60 (Suelos de protección por amenaza y riesgo).</t>
        </is>
      </c>
      <c r="I297" s="2" t="inlineStr"/>
      <c r="J297" s="2" t="inlineStr">
        <is>
          <t>Modificado</t>
        </is>
      </c>
      <c r="K297" s="6" t="inlineStr">
        <is>
          <t>Fondo</t>
        </is>
      </c>
      <c r="L297" s="2" t="inlineStr"/>
      <c r="M297" s="2" t="inlineStr"/>
    </row>
    <row r="298">
      <c r="A298" s="2" t="inlineStr">
        <is>
          <t>D. Áreas de Amenaza y Riesgo</t>
        </is>
      </c>
      <c r="B298" s="2" t="inlineStr">
        <is>
          <t>Amenaza y Riesgo</t>
        </is>
      </c>
      <c r="C298" s="2" t="inlineStr">
        <is>
          <t>36</t>
        </is>
      </c>
      <c r="D298" s="2" t="inlineStr"/>
      <c r="E298" s="2" t="inlineStr">
        <is>
          <t>Evaluación de vulnerabilidad</t>
        </is>
      </c>
      <c r="F298" s="2" t="inlineStr"/>
      <c r="G298" s="2" t="inlineStr">
        <is>
          <t>No se incluía como sección independiente.</t>
        </is>
      </c>
      <c r="H298" s="2" t="inlineStr">
        <is>
          <t>Se incorpora sección 6.3 sobre evaluación de la vulnerabilidad física de elementos expuestos, con metodología del SGC (2015). Se propone eliminar figuras de vulnerabilidad del DTS.</t>
        </is>
      </c>
      <c r="I298" s="2" t="inlineStr"/>
      <c r="J298" s="2" t="inlineStr">
        <is>
          <t>Nuevo/Modificado</t>
        </is>
      </c>
      <c r="K298" s="6" t="inlineStr">
        <is>
          <t>Fondo</t>
        </is>
      </c>
      <c r="L298" s="2" t="inlineStr"/>
      <c r="M298" s="2" t="inlineStr"/>
    </row>
    <row r="299">
      <c r="A299" s="2" t="inlineStr">
        <is>
          <t>D. Áreas de Amenaza y Riesgo</t>
        </is>
      </c>
      <c r="B299" s="2" t="inlineStr">
        <is>
          <t>Amenaza y Riesgo</t>
        </is>
      </c>
      <c r="C299" s="2" t="inlineStr"/>
      <c r="D299" s="2" t="inlineStr"/>
      <c r="E299" s="2" t="inlineStr">
        <is>
          <t>Nuevo: Contenido que no existía en el POT vigente</t>
        </is>
      </c>
      <c r="F299" s="2" t="inlineStr"/>
      <c r="G299" s="2" t="inlineStr"/>
      <c r="H299" s="2" t="inlineStr"/>
      <c r="I299" s="2" t="inlineStr"/>
      <c r="J299" s="2" t="inlineStr">
        <is>
          <t>Nuevo</t>
        </is>
      </c>
      <c r="K299" s="6" t="inlineStr">
        <is>
          <t>Fondo</t>
        </is>
      </c>
      <c r="L299" s="2" t="inlineStr"/>
      <c r="M299" s="2" t="inlineStr"/>
    </row>
    <row r="300">
      <c r="A300" s="2" t="inlineStr">
        <is>
          <t>D. Áreas de Amenaza y Riesgo</t>
        </is>
      </c>
      <c r="B300" s="2" t="inlineStr">
        <is>
          <t>Amenaza y Riesgo</t>
        </is>
      </c>
      <c r="C300" s="2" t="inlineStr"/>
      <c r="D300" s="2" t="inlineStr"/>
      <c r="E300" s="2" t="inlineStr">
        <is>
          <t>Se mantiene: Contenido que no cambia</t>
        </is>
      </c>
      <c r="F300" s="2" t="inlineStr"/>
      <c r="G300" s="2" t="inlineStr"/>
      <c r="H300" s="2" t="inlineStr"/>
      <c r="I300" s="2" t="inlineStr"/>
      <c r="J300" s="2" t="inlineStr">
        <is>
          <t>Se mantiene</t>
        </is>
      </c>
      <c r="K300" s="4" t="inlineStr">
        <is>
          <t>Sin cambio</t>
        </is>
      </c>
      <c r="L300" s="2" t="inlineStr"/>
      <c r="M300" s="2" t="inlineStr"/>
    </row>
  </sheetData>
  <autoFilter ref="A1:M3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14" customWidth="1" min="3" max="3"/>
    <col width="14" customWidth="1" min="4" max="4"/>
    <col width="14" customWidth="1" min="5" max="5"/>
    <col width="14" customWidth="1" min="6" max="6"/>
    <col width="14" customWidth="1" min="7" max="7"/>
    <col width="14" customWidth="1" min="8" max="8"/>
  </cols>
  <sheetData>
    <row r="1">
      <c r="A1" s="7" t="inlineStr">
        <is>
          <t>Sistema</t>
        </is>
      </c>
      <c r="B1" s="7" t="inlineStr">
        <is>
          <t>Bloque</t>
        </is>
      </c>
      <c r="C1" s="7" t="inlineStr">
        <is>
          <t>Total</t>
        </is>
      </c>
      <c r="D1" s="7" t="inlineStr">
        <is>
          <t>Forma</t>
        </is>
      </c>
      <c r="E1" s="7" t="inlineStr">
        <is>
          <t>Fondo</t>
        </is>
      </c>
      <c r="F1" s="7" t="inlineStr">
        <is>
          <t>Sin Cambio</t>
        </is>
      </c>
      <c r="G1" s="7" t="inlineStr">
        <is>
          <t>Indeterminado</t>
        </is>
      </c>
      <c r="H1" s="7" t="inlineStr">
        <is>
          <t>% Fondo</t>
        </is>
      </c>
    </row>
    <row r="2">
      <c r="A2" s="8" t="inlineStr">
        <is>
          <t>A. Sistema Público y Colectivo</t>
        </is>
      </c>
      <c r="B2" s="8" t="inlineStr">
        <is>
          <t>Equipamientos</t>
        </is>
      </c>
      <c r="C2" s="9" t="n">
        <v>19</v>
      </c>
      <c r="D2" s="9" t="n">
        <v>17</v>
      </c>
      <c r="E2" s="9" t="n">
        <v>0</v>
      </c>
      <c r="F2" s="9" t="n">
        <v>1</v>
      </c>
      <c r="G2" s="9" t="n">
        <v>1</v>
      </c>
      <c r="H2" s="10">
        <f>IF(C2&gt;0,E2/C2,0)</f>
        <v/>
      </c>
    </row>
    <row r="3">
      <c r="A3" s="8" t="inlineStr">
        <is>
          <t>A. Sistema Público y Colectivo</t>
        </is>
      </c>
      <c r="B3" s="8" t="inlineStr">
        <is>
          <t>Movilidad</t>
        </is>
      </c>
      <c r="C3" s="9" t="n">
        <v>19</v>
      </c>
      <c r="D3" s="9" t="n">
        <v>0</v>
      </c>
      <c r="E3" s="9" t="n">
        <v>13</v>
      </c>
      <c r="F3" s="9" t="n">
        <v>6</v>
      </c>
      <c r="G3" s="9" t="n">
        <v>0</v>
      </c>
      <c r="H3" s="10">
        <f>IF(C3&gt;0,E3/C3,0)</f>
        <v/>
      </c>
    </row>
    <row r="4">
      <c r="A4" s="8" t="inlineStr">
        <is>
          <t>A. Sistema Público y Colectivo</t>
        </is>
      </c>
      <c r="B4" s="8" t="inlineStr">
        <is>
          <t>Patrimonio Cultural</t>
        </is>
      </c>
      <c r="C4" s="9" t="n">
        <v>7</v>
      </c>
      <c r="D4" s="9" t="n">
        <v>0</v>
      </c>
      <c r="E4" s="9" t="n">
        <v>7</v>
      </c>
      <c r="F4" s="9" t="n">
        <v>0</v>
      </c>
      <c r="G4" s="9" t="n">
        <v>0</v>
      </c>
      <c r="H4" s="10">
        <f>IF(C4&gt;0,E4/C4,0)</f>
        <v/>
      </c>
    </row>
    <row r="5">
      <c r="A5" s="8" t="inlineStr">
        <is>
          <t>A. Sistema Público y Colectivo</t>
        </is>
      </c>
      <c r="B5" s="8" t="inlineStr">
        <is>
          <t>Programa de Ejecución</t>
        </is>
      </c>
      <c r="C5" s="9" t="n">
        <v>5</v>
      </c>
      <c r="D5" s="9" t="n">
        <v>0</v>
      </c>
      <c r="E5" s="9" t="n">
        <v>5</v>
      </c>
      <c r="F5" s="9" t="n">
        <v>0</v>
      </c>
      <c r="G5" s="9" t="n">
        <v>0</v>
      </c>
      <c r="H5" s="10">
        <f>IF(C5&gt;0,E5/C5,0)</f>
        <v/>
      </c>
    </row>
    <row r="6">
      <c r="A6" s="8" t="inlineStr">
        <is>
          <t>A. Sistema Público y Colectivo</t>
        </is>
      </c>
      <c r="B6" s="8" t="inlineStr">
        <is>
          <t>Servicios Públicos</t>
        </is>
      </c>
      <c r="C6" s="9" t="n">
        <v>14</v>
      </c>
      <c r="D6" s="9" t="n">
        <v>1</v>
      </c>
      <c r="E6" s="9" t="n">
        <v>11</v>
      </c>
      <c r="F6" s="9" t="n">
        <v>2</v>
      </c>
      <c r="G6" s="9" t="n">
        <v>0</v>
      </c>
      <c r="H6" s="10">
        <f>IF(C6&gt;0,E6/C6,0)</f>
        <v/>
      </c>
    </row>
    <row r="7">
      <c r="A7" s="8" t="inlineStr">
        <is>
          <t>A. Sistema Público y Colectivo</t>
        </is>
      </c>
      <c r="B7" s="8" t="inlineStr">
        <is>
          <t>Sistema Ambiental</t>
        </is>
      </c>
      <c r="C7" s="9" t="n">
        <v>10</v>
      </c>
      <c r="D7" s="9" t="n">
        <v>0</v>
      </c>
      <c r="E7" s="9" t="n">
        <v>10</v>
      </c>
      <c r="F7" s="9" t="n">
        <v>0</v>
      </c>
      <c r="G7" s="9" t="n">
        <v>0</v>
      </c>
      <c r="H7" s="10">
        <f>IF(C7&gt;0,E7/C7,0)</f>
        <v/>
      </c>
    </row>
    <row r="8">
      <c r="A8" s="8" t="inlineStr">
        <is>
          <t>A. Sistema Público y Colectivo</t>
        </is>
      </c>
      <c r="B8" s="8" t="inlineStr">
        <is>
          <t>Sistema Participativo</t>
        </is>
      </c>
      <c r="C8" s="9" t="n">
        <v>7</v>
      </c>
      <c r="D8" s="9" t="n">
        <v>0</v>
      </c>
      <c r="E8" s="9" t="n">
        <v>7</v>
      </c>
      <c r="F8" s="9" t="n">
        <v>0</v>
      </c>
      <c r="G8" s="9" t="n">
        <v>0</v>
      </c>
      <c r="H8" s="10">
        <f>IF(C8&gt;0,E8/C8,0)</f>
        <v/>
      </c>
    </row>
    <row r="9">
      <c r="A9" s="8" t="inlineStr">
        <is>
          <t>B. Sistema de Ocupación</t>
        </is>
      </c>
      <c r="B9" s="8" t="inlineStr">
        <is>
          <t>Aprovechamientos Rurales</t>
        </is>
      </c>
      <c r="C9" s="9" t="n">
        <v>10</v>
      </c>
      <c r="D9" s="9" t="n">
        <v>3</v>
      </c>
      <c r="E9" s="9" t="n">
        <v>7</v>
      </c>
      <c r="F9" s="9" t="n">
        <v>0</v>
      </c>
      <c r="G9" s="9" t="n">
        <v>0</v>
      </c>
      <c r="H9" s="10">
        <f>IF(C9&gt;0,E9/C9,0)</f>
        <v/>
      </c>
    </row>
    <row r="10">
      <c r="A10" s="8" t="inlineStr">
        <is>
          <t>B. Sistema de Ocupación</t>
        </is>
      </c>
      <c r="B10" s="8" t="inlineStr">
        <is>
          <t>Aprovechamientos Urbanos</t>
        </is>
      </c>
      <c r="C10" s="9" t="n">
        <v>12</v>
      </c>
      <c r="D10" s="9" t="n">
        <v>1</v>
      </c>
      <c r="E10" s="9" t="n">
        <v>11</v>
      </c>
      <c r="F10" s="9" t="n">
        <v>0</v>
      </c>
      <c r="G10" s="9" t="n">
        <v>0</v>
      </c>
      <c r="H10" s="10">
        <f>IF(C10&gt;0,E10/C10,0)</f>
        <v/>
      </c>
    </row>
    <row r="11">
      <c r="A11" s="8" t="inlineStr">
        <is>
          <t>B. Sistema de Ocupación</t>
        </is>
      </c>
      <c r="B11" s="8" t="inlineStr">
        <is>
          <t>Centralidades</t>
        </is>
      </c>
      <c r="C11" s="9" t="n">
        <v>8</v>
      </c>
      <c r="D11" s="9" t="n">
        <v>0</v>
      </c>
      <c r="E11" s="9" t="n">
        <v>8</v>
      </c>
      <c r="F11" s="9" t="n">
        <v>0</v>
      </c>
      <c r="G11" s="9" t="n">
        <v>0</v>
      </c>
      <c r="H11" s="10">
        <f>IF(C11&gt;0,E11/C11,0)</f>
        <v/>
      </c>
    </row>
    <row r="12">
      <c r="A12" s="8" t="inlineStr">
        <is>
          <t>B. Sistema de Ocupación</t>
        </is>
      </c>
      <c r="B12" s="8" t="inlineStr">
        <is>
          <t>Cesiones Rurales</t>
        </is>
      </c>
      <c r="C12" s="9" t="n">
        <v>9</v>
      </c>
      <c r="D12" s="9" t="n">
        <v>0</v>
      </c>
      <c r="E12" s="9" t="n">
        <v>9</v>
      </c>
      <c r="F12" s="9" t="n">
        <v>0</v>
      </c>
      <c r="G12" s="9" t="n">
        <v>0</v>
      </c>
      <c r="H12" s="10">
        <f>IF(C12&gt;0,E12/C12,0)</f>
        <v/>
      </c>
    </row>
    <row r="13">
      <c r="A13" s="8" t="inlineStr">
        <is>
          <t>B. Sistema de Ocupación</t>
        </is>
      </c>
      <c r="B13" s="8" t="inlineStr">
        <is>
          <t>DOT</t>
        </is>
      </c>
      <c r="C13" s="9" t="n">
        <v>7</v>
      </c>
      <c r="D13" s="9" t="n">
        <v>0</v>
      </c>
      <c r="E13" s="9" t="n">
        <v>7</v>
      </c>
      <c r="F13" s="9" t="n">
        <v>0</v>
      </c>
      <c r="G13" s="9" t="n">
        <v>0</v>
      </c>
      <c r="H13" s="10">
        <f>IF(C13&gt;0,E13/C13,0)</f>
        <v/>
      </c>
    </row>
    <row r="14">
      <c r="A14" s="8" t="inlineStr">
        <is>
          <t>B. Sistema de Ocupación</t>
        </is>
      </c>
      <c r="B14" s="8" t="inlineStr">
        <is>
          <t>Habitacional</t>
        </is>
      </c>
      <c r="C14" s="9" t="n">
        <v>13</v>
      </c>
      <c r="D14" s="9" t="n">
        <v>1</v>
      </c>
      <c r="E14" s="9" t="n">
        <v>12</v>
      </c>
      <c r="F14" s="9" t="n">
        <v>0</v>
      </c>
      <c r="G14" s="9" t="n">
        <v>0</v>
      </c>
      <c r="H14" s="10">
        <f>IF(C14&gt;0,E14/C14,0)</f>
        <v/>
      </c>
    </row>
    <row r="15">
      <c r="A15" s="8" t="inlineStr">
        <is>
          <t>B. Sistema de Ocupación</t>
        </is>
      </c>
      <c r="B15" s="8" t="inlineStr">
        <is>
          <t>Modelo Multipropósito</t>
        </is>
      </c>
      <c r="C15" s="9" t="n">
        <v>8</v>
      </c>
      <c r="D15" s="9" t="n">
        <v>0</v>
      </c>
      <c r="E15" s="9" t="n">
        <v>8</v>
      </c>
      <c r="F15" s="9" t="n">
        <v>0</v>
      </c>
      <c r="G15" s="9" t="n">
        <v>0</v>
      </c>
      <c r="H15" s="10">
        <f>IF(C15&gt;0,E15/C15,0)</f>
        <v/>
      </c>
    </row>
    <row r="16">
      <c r="A16" s="8" t="inlineStr">
        <is>
          <t>B. Sistema de Ocupación</t>
        </is>
      </c>
      <c r="B16" s="8" t="inlineStr">
        <is>
          <t>Normas Volumétricas</t>
        </is>
      </c>
      <c r="C16" s="9" t="n">
        <v>13</v>
      </c>
      <c r="D16" s="9" t="n">
        <v>2</v>
      </c>
      <c r="E16" s="9" t="n">
        <v>11</v>
      </c>
      <c r="F16" s="9" t="n">
        <v>0</v>
      </c>
      <c r="G16" s="9" t="n">
        <v>0</v>
      </c>
      <c r="H16" s="10">
        <f>IF(C16&gt;0,E16/C16,0)</f>
        <v/>
      </c>
    </row>
    <row r="17">
      <c r="A17" s="8" t="inlineStr">
        <is>
          <t>B. Sistema de Ocupación</t>
        </is>
      </c>
      <c r="B17" s="8" t="inlineStr">
        <is>
          <t>Tratamientos Rurales</t>
        </is>
      </c>
      <c r="C17" s="9" t="n">
        <v>10</v>
      </c>
      <c r="D17" s="9" t="n">
        <v>5</v>
      </c>
      <c r="E17" s="9" t="n">
        <v>5</v>
      </c>
      <c r="F17" s="9" t="n">
        <v>0</v>
      </c>
      <c r="G17" s="9" t="n">
        <v>0</v>
      </c>
      <c r="H17" s="10">
        <f>IF(C17&gt;0,E17/C17,0)</f>
        <v/>
      </c>
    </row>
    <row r="18">
      <c r="A18" s="8" t="inlineStr">
        <is>
          <t>B. Sistema de Ocupación</t>
        </is>
      </c>
      <c r="B18" s="8" t="inlineStr">
        <is>
          <t>Tratamientos Urbanos</t>
        </is>
      </c>
      <c r="C18" s="9" t="n">
        <v>11</v>
      </c>
      <c r="D18" s="9" t="n">
        <v>4</v>
      </c>
      <c r="E18" s="9" t="n">
        <v>7</v>
      </c>
      <c r="F18" s="9" t="n">
        <v>0</v>
      </c>
      <c r="G18" s="9" t="n">
        <v>0</v>
      </c>
      <c r="H18" s="10">
        <f>IF(C18&gt;0,E18/C18,0)</f>
        <v/>
      </c>
    </row>
    <row r="19">
      <c r="A19" s="8" t="inlineStr">
        <is>
          <t>B. Sistema de Ocupación</t>
        </is>
      </c>
      <c r="B19" s="8" t="inlineStr">
        <is>
          <t>Usos Rurales</t>
        </is>
      </c>
      <c r="C19" s="9" t="n">
        <v>11</v>
      </c>
      <c r="D19" s="9" t="n">
        <v>1</v>
      </c>
      <c r="E19" s="9" t="n">
        <v>10</v>
      </c>
      <c r="F19" s="9" t="n">
        <v>0</v>
      </c>
      <c r="G19" s="9" t="n">
        <v>0</v>
      </c>
      <c r="H19" s="10">
        <f>IF(C19&gt;0,E19/C19,0)</f>
        <v/>
      </c>
    </row>
    <row r="20">
      <c r="A20" s="8" t="inlineStr">
        <is>
          <t>B. Sistema de Ocupación</t>
        </is>
      </c>
      <c r="B20" s="8" t="inlineStr">
        <is>
          <t>Usos Urbanos</t>
        </is>
      </c>
      <c r="C20" s="9" t="n">
        <v>12</v>
      </c>
      <c r="D20" s="9" t="n">
        <v>3</v>
      </c>
      <c r="E20" s="9" t="n">
        <v>9</v>
      </c>
      <c r="F20" s="9" t="n">
        <v>0</v>
      </c>
      <c r="G20" s="9" t="n">
        <v>0</v>
      </c>
      <c r="H20" s="10">
        <f>IF(C20&gt;0,E20/C20,0)</f>
        <v/>
      </c>
    </row>
    <row r="21">
      <c r="A21" s="8" t="inlineStr">
        <is>
          <t>C. Sistemas Institucionales y de Gestión</t>
        </is>
      </c>
      <c r="B21" s="8" t="inlineStr">
        <is>
          <t>Financiación</t>
        </is>
      </c>
      <c r="C21" s="9" t="n">
        <v>15</v>
      </c>
      <c r="D21" s="9" t="n">
        <v>0</v>
      </c>
      <c r="E21" s="9" t="n">
        <v>15</v>
      </c>
      <c r="F21" s="9" t="n">
        <v>0</v>
      </c>
      <c r="G21" s="9" t="n">
        <v>0</v>
      </c>
      <c r="H21" s="10">
        <f>IF(C21&gt;0,E21/C21,0)</f>
        <v/>
      </c>
    </row>
    <row r="22">
      <c r="A22" s="8" t="inlineStr">
        <is>
          <t>C. Sistemas Institucionales y de Gestión</t>
        </is>
      </c>
      <c r="B22" s="8" t="inlineStr">
        <is>
          <t>Intervención del Suelo</t>
        </is>
      </c>
      <c r="C22" s="9" t="n">
        <v>11</v>
      </c>
      <c r="D22" s="9" t="n">
        <v>0</v>
      </c>
      <c r="E22" s="9" t="n">
        <v>11</v>
      </c>
      <c r="F22" s="9" t="n">
        <v>0</v>
      </c>
      <c r="G22" s="9" t="n">
        <v>0</v>
      </c>
      <c r="H22" s="10">
        <f>IF(C22&gt;0,E22/C22,0)</f>
        <v/>
      </c>
    </row>
    <row r="23">
      <c r="A23" s="8" t="inlineStr">
        <is>
          <t>C. Sistemas Institucionales y de Gestión</t>
        </is>
      </c>
      <c r="B23" s="8" t="inlineStr">
        <is>
          <t>Marco Gestión Equidad</t>
        </is>
      </c>
      <c r="C23" s="9" t="n">
        <v>18</v>
      </c>
      <c r="D23" s="9" t="n">
        <v>0</v>
      </c>
      <c r="E23" s="9" t="n">
        <v>18</v>
      </c>
      <c r="F23" s="9" t="n">
        <v>0</v>
      </c>
      <c r="G23" s="9" t="n">
        <v>0</v>
      </c>
      <c r="H23" s="10">
        <f>IF(C23&gt;0,E23/C23,0)</f>
        <v/>
      </c>
    </row>
    <row r="24">
      <c r="A24" s="8" t="inlineStr">
        <is>
          <t>C. Sistemas Institucionales y de Gestión</t>
        </is>
      </c>
      <c r="B24" s="8" t="inlineStr">
        <is>
          <t>Planificación Complementaria</t>
        </is>
      </c>
      <c r="C24" s="9" t="n">
        <v>11</v>
      </c>
      <c r="D24" s="9" t="n">
        <v>0</v>
      </c>
      <c r="E24" s="9" t="n">
        <v>11</v>
      </c>
      <c r="F24" s="9" t="n">
        <v>0</v>
      </c>
      <c r="G24" s="9" t="n">
        <v>0</v>
      </c>
      <c r="H24" s="10">
        <f>IF(C24&gt;0,E24/C24,0)</f>
        <v/>
      </c>
    </row>
    <row r="25">
      <c r="A25" s="8" t="inlineStr">
        <is>
          <t>D. Áreas de Amenaza y Riesgo</t>
        </is>
      </c>
      <c r="B25" s="8" t="inlineStr">
        <is>
          <t>Amenaza y Riesgo</t>
        </is>
      </c>
      <c r="C25" s="9" t="n">
        <v>39</v>
      </c>
      <c r="D25" s="9" t="n">
        <v>0</v>
      </c>
      <c r="E25" s="9" t="n">
        <v>32</v>
      </c>
      <c r="F25" s="9" t="n">
        <v>6</v>
      </c>
      <c r="G25" s="9" t="n">
        <v>1</v>
      </c>
      <c r="H25" s="10">
        <f>IF(C25&gt;0,E25/C25,0)</f>
        <v/>
      </c>
    </row>
    <row r="26">
      <c r="A26" s="11" t="inlineStr">
        <is>
          <t>TOTAL</t>
        </is>
      </c>
      <c r="B26" s="12" t="inlineStr"/>
      <c r="C26" s="13">
        <f>SUM(C2:C25)</f>
        <v/>
      </c>
      <c r="D26" s="13">
        <f>SUM(D2:D25)</f>
        <v/>
      </c>
      <c r="E26" s="13">
        <f>SUM(E2:E25)</f>
        <v/>
      </c>
      <c r="F26" s="13">
        <f>SUM(F2:F25)</f>
        <v/>
      </c>
      <c r="G26" s="13">
        <f>SUM(G2:G25)</f>
        <v/>
      </c>
      <c r="H26" s="14">
        <f>IF(C26&gt;0,E26/C26,0)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18" customWidth="1" min="3" max="3"/>
    <col width="22" customWidth="1" min="4" max="4"/>
    <col width="12" customWidth="1" min="5" max="5"/>
  </cols>
  <sheetData>
    <row r="1">
      <c r="A1" s="7" t="inlineStr">
        <is>
          <t>Concepto/Categoría</t>
        </is>
      </c>
      <c r="B1" s="7" t="inlineStr">
        <is>
          <t>Tipo de Innovación</t>
        </is>
      </c>
      <c r="C1" s="7" t="inlineStr">
        <is>
          <t>Sistema</t>
        </is>
      </c>
      <c r="D1" s="7" t="inlineStr">
        <is>
          <t>Bloque(s)</t>
        </is>
      </c>
      <c r="E1" s="7" t="inlineStr">
        <is>
          <t>Impacto</t>
        </is>
      </c>
    </row>
    <row r="2">
      <c r="A2" s="2" t="inlineStr">
        <is>
          <t>DOT (Desarrollo Orientado al Transporte)</t>
        </is>
      </c>
      <c r="B2" s="2" t="inlineStr">
        <is>
          <t>Sección completamente nueva</t>
        </is>
      </c>
      <c r="C2" s="2" t="inlineStr">
        <is>
          <t>B. Ocupación</t>
        </is>
      </c>
      <c r="D2" s="2" t="inlineStr">
        <is>
          <t>B1: DOT</t>
        </is>
      </c>
      <c r="E2" s="15" t="inlineStr">
        <is>
          <t>Alto</t>
        </is>
      </c>
    </row>
    <row r="3">
      <c r="A3" s="2" t="inlineStr">
        <is>
          <t>Vivienda colectiva como tipología</t>
        </is>
      </c>
      <c r="B3" s="2" t="inlineStr">
        <is>
          <t>Nueva categoría normativa</t>
        </is>
      </c>
      <c r="C3" s="2" t="inlineStr">
        <is>
          <t>B. Ocupación</t>
        </is>
      </c>
      <c r="D3" s="2" t="inlineStr">
        <is>
          <t>B1, B3</t>
        </is>
      </c>
      <c r="E3" s="15" t="inlineStr">
        <is>
          <t>Alto</t>
        </is>
      </c>
    </row>
    <row r="4">
      <c r="A4" s="2" t="inlineStr">
        <is>
          <t>Patrimonios Integrados</t>
        </is>
      </c>
      <c r="B4" s="2" t="inlineStr">
        <is>
          <t>Nuevo concepto</t>
        </is>
      </c>
      <c r="C4" s="2" t="inlineStr">
        <is>
          <t>A. Público</t>
        </is>
      </c>
      <c r="D4" s="2" t="inlineStr">
        <is>
          <t>Bloque 3</t>
        </is>
      </c>
      <c r="E4" s="2" t="inlineStr">
        <is>
          <t>Medio</t>
        </is>
      </c>
    </row>
    <row r="5">
      <c r="A5" s="2" t="inlineStr">
        <is>
          <t>Predominancias funcionales</t>
        </is>
      </c>
      <c r="B5" s="2" t="inlineStr">
        <is>
          <t>Nueva clasificación</t>
        </is>
      </c>
      <c r="C5" s="2" t="inlineStr">
        <is>
          <t>B. Ocupación</t>
        </is>
      </c>
      <c r="D5" s="2" t="inlineStr">
        <is>
          <t>B2</t>
        </is>
      </c>
      <c r="E5" s="15" t="inlineStr">
        <is>
          <t>Alto</t>
        </is>
      </c>
    </row>
    <row r="6">
      <c r="A6" s="2" t="inlineStr">
        <is>
          <t>Índice de Impacto Potencial (IIP)</t>
        </is>
      </c>
      <c r="B6" s="2" t="inlineStr">
        <is>
          <t>Nuevo instrumento técnico</t>
        </is>
      </c>
      <c r="C6" s="2" t="inlineStr">
        <is>
          <t>B. Ocupación</t>
        </is>
      </c>
      <c r="D6" s="2" t="inlineStr">
        <is>
          <t>B7</t>
        </is>
      </c>
      <c r="E6" s="15" t="inlineStr">
        <is>
          <t>Alto</t>
        </is>
      </c>
    </row>
    <row r="7">
      <c r="A7" s="2" t="inlineStr">
        <is>
          <t>Zonas geoeconómicas homogéneas</t>
        </is>
      </c>
      <c r="B7" s="2" t="inlineStr">
        <is>
          <t>Nueva metodología</t>
        </is>
      </c>
      <c r="C7" s="2" t="inlineStr">
        <is>
          <t>C. Institucional</t>
        </is>
      </c>
      <c r="D7" s="2" t="inlineStr">
        <is>
          <t>Bloques 6,8,9</t>
        </is>
      </c>
      <c r="E7" s="15" t="inlineStr">
        <is>
          <t>Alto</t>
        </is>
      </c>
    </row>
    <row r="8">
      <c r="A8" s="2" t="inlineStr">
        <is>
          <t>Compra derechos fiduciarios (CDF)</t>
        </is>
      </c>
      <c r="B8" s="2" t="inlineStr">
        <is>
          <t>Nuevo instrumento financiero</t>
        </is>
      </c>
      <c r="C8" s="2" t="inlineStr">
        <is>
          <t>C. Institucional</t>
        </is>
      </c>
      <c r="D8" s="2" t="inlineStr">
        <is>
          <t>Bloque 9, B6</t>
        </is>
      </c>
      <c r="E8" s="15" t="inlineStr">
        <is>
          <t>Alto</t>
        </is>
      </c>
    </row>
    <row r="9">
      <c r="A9" s="2" t="inlineStr">
        <is>
          <t>Acciones Integrales</t>
        </is>
      </c>
      <c r="B9" s="2" t="inlineStr">
        <is>
          <t>Nuevo concepto operativo</t>
        </is>
      </c>
      <c r="C9" s="2" t="inlineStr">
        <is>
          <t>C. Institucional</t>
        </is>
      </c>
      <c r="D9" s="2" t="inlineStr">
        <is>
          <t>Bloque 12</t>
        </is>
      </c>
      <c r="E9" s="15" t="inlineStr">
        <is>
          <t>Alto</t>
        </is>
      </c>
    </row>
    <row r="10">
      <c r="A10" s="2" t="inlineStr">
        <is>
          <t>ZUAP (Zonas Urbanas Aire Protegido)</t>
        </is>
      </c>
      <c r="B10" s="2" t="inlineStr">
        <is>
          <t>Nueva zonificación ambiental</t>
        </is>
      </c>
      <c r="C10" s="2" t="inlineStr">
        <is>
          <t>C. Institucional</t>
        </is>
      </c>
      <c r="D10" s="2" t="inlineStr">
        <is>
          <t>Bloque 10</t>
        </is>
      </c>
      <c r="E10" s="2" t="inlineStr">
        <is>
          <t>Medio</t>
        </is>
      </c>
    </row>
    <row r="11">
      <c r="A11" s="2" t="inlineStr">
        <is>
          <t>SUDs (Drenaje Urbano Sostenible)</t>
        </is>
      </c>
      <c r="B11" s="2" t="inlineStr">
        <is>
          <t>Nueva infraestructura verde</t>
        </is>
      </c>
      <c r="C11" s="2" t="inlineStr">
        <is>
          <t>A/C</t>
        </is>
      </c>
      <c r="D11" s="2" t="inlineStr">
        <is>
          <t>Bloques 4, 10</t>
        </is>
      </c>
      <c r="E11" s="2" t="inlineStr">
        <is>
          <t>Medio</t>
        </is>
      </c>
    </row>
    <row r="12">
      <c r="A12" s="2" t="inlineStr">
        <is>
          <t>Economía circular</t>
        </is>
      </c>
      <c r="B12" s="2" t="inlineStr">
        <is>
          <t>Nuevo enfoque</t>
        </is>
      </c>
      <c r="C12" s="2" t="inlineStr">
        <is>
          <t>C. Institucional</t>
        </is>
      </c>
      <c r="D12" s="2" t="inlineStr">
        <is>
          <t>Bloques 3, 10</t>
        </is>
      </c>
      <c r="E12" s="2" t="inlineStr">
        <is>
          <t>Medio</t>
        </is>
      </c>
    </row>
    <row r="13">
      <c r="A13" s="2" t="inlineStr">
        <is>
          <t>Gobernanza colaborativa</t>
        </is>
      </c>
      <c r="B13" s="2" t="inlineStr">
        <is>
          <t>Nuevo enfoque institucional</t>
        </is>
      </c>
      <c r="C13" s="2" t="inlineStr">
        <is>
          <t>C. Institucional</t>
        </is>
      </c>
      <c r="D13" s="2" t="inlineStr">
        <is>
          <t>Bloque 11</t>
        </is>
      </c>
      <c r="E13" s="15" t="inlineStr">
        <is>
          <t>Alto</t>
        </is>
      </c>
    </row>
    <row r="14">
      <c r="A14" s="2" t="inlineStr">
        <is>
          <t>Big Data e IA territorial</t>
        </is>
      </c>
      <c r="B14" s="2" t="inlineStr">
        <is>
          <t>Nueva herramienta tecnológica</t>
        </is>
      </c>
      <c r="C14" s="2" t="inlineStr">
        <is>
          <t>C. Institucional</t>
        </is>
      </c>
      <c r="D14" s="2" t="inlineStr">
        <is>
          <t>Bloque 11</t>
        </is>
      </c>
      <c r="E14" s="2" t="inlineStr">
        <is>
          <t>Medio</t>
        </is>
      </c>
    </row>
    <row r="15">
      <c r="A15" s="2" t="inlineStr">
        <is>
          <t>PLRMH (antes PLRU)</t>
        </is>
      </c>
      <c r="B15" s="2" t="inlineStr">
        <is>
          <t>Instrumento ampliado</t>
        </is>
      </c>
      <c r="C15" s="2" t="inlineStr">
        <is>
          <t>C. Institucional</t>
        </is>
      </c>
      <c r="D15" s="2" t="inlineStr">
        <is>
          <t>Bloque 7</t>
        </is>
      </c>
      <c r="E15" s="15" t="inlineStr">
        <is>
          <t>Alto</t>
        </is>
      </c>
    </row>
    <row r="16">
      <c r="A16" s="2" t="inlineStr">
        <is>
          <t>Consolidación Suburbana 4 niveles</t>
        </is>
      </c>
      <c r="B16" s="2" t="inlineStr">
        <is>
          <t>Nueva clasificación</t>
        </is>
      </c>
      <c r="C16" s="2" t="inlineStr">
        <is>
          <t>B. Ocupación</t>
        </is>
      </c>
      <c r="D16" s="2" t="inlineStr">
        <is>
          <t>B8</t>
        </is>
      </c>
      <c r="E16" s="15" t="inlineStr">
        <is>
          <t>Alto</t>
        </is>
      </c>
    </row>
    <row r="17">
      <c r="A17" s="2" t="inlineStr">
        <is>
          <t>Resiliencia territorial</t>
        </is>
      </c>
      <c r="B17" s="2" t="inlineStr">
        <is>
          <t>Enfoque transversal nuevo</t>
        </is>
      </c>
      <c r="C17" s="2" t="inlineStr">
        <is>
          <t>Transversal</t>
        </is>
      </c>
      <c r="D17" s="2" t="inlineStr">
        <is>
          <t>Bloques 1, 10</t>
        </is>
      </c>
      <c r="E17" s="15" t="inlineStr">
        <is>
          <t>Alto</t>
        </is>
      </c>
    </row>
    <row r="18">
      <c r="A18" s="2" t="inlineStr">
        <is>
          <t>Enfoque diferencial y de cuidado</t>
        </is>
      </c>
      <c r="B18" s="2" t="inlineStr">
        <is>
          <t>Enfoque transversal nuevo</t>
        </is>
      </c>
      <c r="C18" s="2" t="inlineStr">
        <is>
          <t>Transversal</t>
        </is>
      </c>
      <c r="D18" s="2" t="inlineStr">
        <is>
          <t>Bloques 1, B2, B7</t>
        </is>
      </c>
      <c r="E18" s="15" t="inlineStr">
        <is>
          <t>Alto</t>
        </is>
      </c>
    </row>
    <row r="19">
      <c r="A19" s="2" t="inlineStr">
        <is>
          <t>Electromovilidad e intermodalidad</t>
        </is>
      </c>
      <c r="B19" s="2" t="inlineStr">
        <is>
          <t>Nuevos criterios movilidad</t>
        </is>
      </c>
      <c r="C19" s="2" t="inlineStr">
        <is>
          <t>A. Público</t>
        </is>
      </c>
      <c r="D19" s="2" t="inlineStr">
        <is>
          <t>Bloque 5</t>
        </is>
      </c>
      <c r="E19" s="2" t="inlineStr">
        <is>
          <t>Medio</t>
        </is>
      </c>
    </row>
    <row r="20">
      <c r="A20" s="2" t="inlineStr">
        <is>
          <t>Soluciones basadas en la naturaleza</t>
        </is>
      </c>
      <c r="B20" s="2" t="inlineStr">
        <is>
          <t>Nuevo enfoque ambiental</t>
        </is>
      </c>
      <c r="C20" s="2" t="inlineStr">
        <is>
          <t>C. Institucional</t>
        </is>
      </c>
      <c r="D20" s="2" t="inlineStr">
        <is>
          <t>Bloque 10</t>
        </is>
      </c>
      <c r="E20" s="15" t="inlineStr">
        <is>
          <t>Alto</t>
        </is>
      </c>
    </row>
  </sheetData>
  <autoFilter ref="A1:E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16" customWidth="1" min="4" max="4"/>
    <col width="40" customWidth="1" min="5" max="5"/>
  </cols>
  <sheetData>
    <row r="1">
      <c r="A1" s="7" t="inlineStr">
        <is>
          <t>Tema Comunitario</t>
        </is>
      </c>
      <c r="B1" s="7" t="inlineStr">
        <is>
          <t>Demanda Central</t>
        </is>
      </c>
      <c r="C1" s="7" t="inlineStr">
        <is>
          <t>Respuesta POT</t>
        </is>
      </c>
      <c r="D1" s="7" t="inlineStr">
        <is>
          <t>Nivel Respuesta</t>
        </is>
      </c>
      <c r="E1" s="7" t="inlineStr">
        <is>
          <t>Valoración Crítica</t>
        </is>
      </c>
    </row>
    <row r="2">
      <c r="A2" s="2" t="inlineStr">
        <is>
          <t>Renovación Urbana barrios populares</t>
        </is>
      </c>
      <c r="B2" s="2" t="inlineStr">
        <is>
          <t>Otro tratamiento con integralidad social para comunas 2, 4, 10</t>
        </is>
      </c>
      <c r="C2" s="2" t="inlineStr">
        <is>
          <t>3 modalidades de Renovación diferenciadas. Incentivos VIS/VIP.</t>
        </is>
      </c>
      <c r="D2" s="5" t="inlineStr">
        <is>
          <t>Parcial</t>
        </is>
      </c>
      <c r="E2" s="2" t="inlineStr">
        <is>
          <t>No se crea tratamiento alternativo para barrios populares.</t>
        </is>
      </c>
    </row>
    <row r="3">
      <c r="A3" s="2" t="inlineStr">
        <is>
          <t>Plan Vivienda y Hábitat Diversificado</t>
        </is>
      </c>
      <c r="B3" s="2" t="inlineStr">
        <is>
          <t>Plan para inquilinatos y barrios populares con fondo y operador público</t>
        </is>
      </c>
      <c r="C3" s="2" t="inlineStr">
        <is>
          <t>Subsistema Habitacional elevado. PEHMED integrado. Vivienda colectiva nueva.</t>
        </is>
      </c>
      <c r="D3" s="5" t="inlineStr">
        <is>
          <t>Parcial</t>
        </is>
      </c>
      <c r="E3" s="2" t="inlineStr">
        <is>
          <t>Marco institucional fortalecido pero sin plan ni fondo dedicado.</t>
        </is>
      </c>
    </row>
    <row r="4">
      <c r="A4" s="2" t="inlineStr">
        <is>
          <t>Mejoramiento Integral de Barrios</t>
        </is>
      </c>
      <c r="B4" s="2" t="inlineStr">
        <is>
          <t>Desvincular MIB de Macroproyectos. Priorizar borde nororiental.</t>
        </is>
      </c>
      <c r="C4" s="2" t="inlineStr">
        <is>
          <t>PLRU se transforma en PLRMH. Instrumentos complementarios precisados.</t>
        </is>
      </c>
      <c r="D4" s="5" t="inlineStr">
        <is>
          <t>Parcial</t>
        </is>
      </c>
      <c r="E4" s="2" t="inlineStr">
        <is>
          <t>PLRMH positivo pero sin desvinculación de macroproyectos.</t>
        </is>
      </c>
    </row>
    <row r="5">
      <c r="A5" s="2" t="inlineStr">
        <is>
          <t>Gestión de riesgo comunitaria</t>
        </is>
      </c>
      <c r="B5" s="2" t="inlineStr">
        <is>
          <t>Estudios microzonificados, SbN, Eco-RRD, red comunitaria</t>
        </is>
      </c>
      <c r="C5" s="2" t="inlineStr">
        <is>
          <t>Se incorporan SbN, Eco-RRD, SUDs. Sistema Ambiental con cambio climático.</t>
        </is>
      </c>
      <c r="D5" s="6" t="inlineStr">
        <is>
          <t>Convergente</t>
        </is>
      </c>
      <c r="E5" s="2" t="inlineStr">
        <is>
          <t>Enfoque técnico converge. Falta participación comunitaria en gestión.</t>
        </is>
      </c>
    </row>
    <row r="6">
      <c r="A6" s="2" t="inlineStr">
        <is>
          <t>Distrito Rural Campesino</t>
        </is>
      </c>
      <c r="B6" s="2" t="inlineStr">
        <is>
          <t>Incorporar DRC en subsistemas POT. Detener densificación.</t>
        </is>
      </c>
      <c r="C6" s="2" t="inlineStr">
        <is>
          <t>DRC mencionado. Consolidación Suburbana 4 niveles.</t>
        </is>
      </c>
      <c r="D6" s="16" t="inlineStr">
        <is>
          <t>Insuficiente</t>
        </is>
      </c>
      <c r="E6" s="2" t="inlineStr">
        <is>
          <t>DRC sin incorporarse como subsistema. Densificación regulada pero no contenida.</t>
        </is>
      </c>
    </row>
    <row r="7">
      <c r="A7" s="2" t="inlineStr">
        <is>
          <t>Participación vinculante</t>
        </is>
      </c>
      <c r="B7" s="2" t="inlineStr">
        <is>
          <t>Participación real, formación, mesas permanentes</t>
        </is>
      </c>
      <c r="C7" s="2" t="inlineStr">
        <is>
          <t>Sección autónoma participación. 10 principios. Gobernanza colaborativa.</t>
        </is>
      </c>
      <c r="D7" s="5" t="inlineStr">
        <is>
          <t>Parcial</t>
        </is>
      </c>
      <c r="E7" s="2" t="inlineStr">
        <is>
          <t>Avance normativo sin garantía de vinculancia concreta.</t>
        </is>
      </c>
    </row>
    <row r="8">
      <c r="A8" s="2" t="inlineStr">
        <is>
          <t>Enfoque de paz territorial</t>
        </is>
      </c>
      <c r="B8" s="2" t="inlineStr">
        <is>
          <t>POT con paz. Barrios para la Paz. MIB-Paz.</t>
        </is>
      </c>
      <c r="C8" s="2" t="inlineStr">
        <is>
          <t>Sin mención explícita en fichas de modificación.</t>
        </is>
      </c>
      <c r="D8" s="17" t="inlineStr">
        <is>
          <t>Ausente</t>
        </is>
      </c>
      <c r="E8" s="2" t="inlineStr">
        <is>
          <t>La demanda más invisibilizada de toda la revisión.</t>
        </is>
      </c>
    </row>
    <row r="9">
      <c r="A9" s="2" t="inlineStr">
        <is>
          <t>Enfoque de cuidado</t>
        </is>
      </c>
      <c r="B9" s="2" t="inlineStr">
        <is>
          <t>Círculos de Cuidado. Reconocimiento trabajo reproductivo.</t>
        </is>
      </c>
      <c r="C9" s="2" t="inlineStr">
        <is>
          <t>Enfoque diferencial en espacio público y centralidades.</t>
        </is>
      </c>
      <c r="D9" s="5" t="inlineStr">
        <is>
          <t>Parcial</t>
        </is>
      </c>
      <c r="E9" s="2" t="inlineStr">
        <is>
          <t>Avance enunciativo sin instrumentos concretos.</t>
        </is>
      </c>
    </row>
    <row r="10">
      <c r="A10" s="2" t="inlineStr">
        <is>
          <t>Protección a moradores</t>
        </is>
      </c>
      <c r="B10" s="2" t="inlineStr">
        <is>
          <t>Garantizar PPPMAEP. Prevenir gentrificación.</t>
        </is>
      </c>
      <c r="C10" s="2" t="inlineStr">
        <is>
          <t>Sin desarrollo específico en fichas analizadas.</t>
        </is>
      </c>
      <c r="D10" s="17" t="inlineStr">
        <is>
          <t>Ausente</t>
        </is>
      </c>
      <c r="E10" s="2" t="inlineStr">
        <is>
          <t>Tema crítico sin instrumentos de contención.</t>
        </is>
      </c>
    </row>
    <row r="11">
      <c r="A11" s="2" t="inlineStr">
        <is>
          <t>Financiación para MIB</t>
        </is>
      </c>
      <c r="B11" s="2" t="inlineStr">
        <is>
          <t>Cobrar plusvalías estrictamente. Porcentajes fijos para MIB.</t>
        </is>
      </c>
      <c r="C11" s="2" t="inlineStr">
        <is>
          <t>Plusvalía actualizada. Nuevos instrumentos: CDF, zonas receptoras.</t>
        </is>
      </c>
      <c r="D11" s="5" t="inlineStr">
        <is>
          <t>Parcial</t>
        </is>
      </c>
      <c r="E11" s="2" t="inlineStr">
        <is>
          <t>Marco financiero actualizado pero sin porcentajes fijos para MIB.</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2026-03-24T15:36:48Z</dcterms:created>
  <dcterms:modified xmlns:dcterms="http://purl.org/dc/terms/" xmlns:xsi="http://www.w3.org/2001/XMLSchema-instance" xsi:type="dcterms:W3CDTF">2026-03-24T15:36:48Z</dcterms:modified>
</cp:coreProperties>
</file>